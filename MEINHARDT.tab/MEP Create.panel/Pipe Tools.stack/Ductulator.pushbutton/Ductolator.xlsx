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OG\Downloads\"/>
    </mc:Choice>
  </mc:AlternateContent>
  <xr:revisionPtr revIDLastSave="0" documentId="13_ncr:1_{F2F84CB4-8565-4596-9D45-98654EE19C91}" xr6:coauthVersionLast="47" xr6:coauthVersionMax="47" xr10:uidLastSave="{00000000-0000-0000-0000-000000000000}"/>
  <bookViews>
    <workbookView xWindow="14480" yWindow="0" windowWidth="11120" windowHeight="13630" activeTab="1" xr2:uid="{00000000-000D-0000-FFFF-FFFF00000000}"/>
  </bookViews>
  <sheets>
    <sheet name="ENVAR Ref" sheetId="1" r:id="rId1"/>
    <sheet name="Ductulator" sheetId="4" r:id="rId2"/>
    <sheet name="x" sheetId="5" r:id="rId3"/>
    <sheet name="y" sheetId="6" r:id="rId4"/>
  </sheets>
  <definedNames>
    <definedName name="Aladdins">Ductulator!#REF!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4" i="4" l="1"/>
  <c r="F5" i="4" l="1"/>
  <c r="I20" i="4" s="1"/>
  <c r="C74" i="4"/>
  <c r="L3" i="4" l="1"/>
  <c r="L4" i="4"/>
  <c r="J30" i="1"/>
  <c r="J24" i="1"/>
  <c r="J21" i="1"/>
  <c r="J18" i="1"/>
  <c r="J15" i="1"/>
  <c r="B74" i="4" l="1"/>
  <c r="F74" i="4" s="1"/>
  <c r="D74" i="4"/>
  <c r="H30" i="1"/>
  <c r="G18" i="1"/>
  <c r="G21" i="1"/>
  <c r="G24" i="1"/>
  <c r="E15" i="1"/>
  <c r="L5" i="4" l="1"/>
  <c r="E15" i="5"/>
  <c r="E16" i="5"/>
  <c r="E17" i="5"/>
  <c r="E18" i="5"/>
  <c r="F15" i="5" s="1"/>
  <c r="E19" i="5"/>
  <c r="M16" i="5" s="1"/>
  <c r="E20" i="5"/>
  <c r="F20" i="5" s="1"/>
  <c r="G20" i="5" s="1"/>
  <c r="H20" i="5" s="1"/>
  <c r="I20" i="5" s="1"/>
  <c r="J20" i="5" s="1"/>
  <c r="K20" i="5" s="1"/>
  <c r="L20" i="5" s="1"/>
  <c r="M20" i="5" s="1"/>
  <c r="E21" i="5"/>
  <c r="K18" i="5" s="1"/>
  <c r="E22" i="5"/>
  <c r="E23" i="5"/>
  <c r="E24" i="5"/>
  <c r="E25" i="5"/>
  <c r="G22" i="5" s="1"/>
  <c r="E26" i="5"/>
  <c r="E27" i="5"/>
  <c r="M24" i="5" s="1"/>
  <c r="E28" i="5"/>
  <c r="E29" i="5"/>
  <c r="K26" i="5" s="1"/>
  <c r="G23" i="4"/>
  <c r="K22" i="5" l="1"/>
  <c r="J22" i="5"/>
  <c r="I22" i="5"/>
  <c r="J26" i="5"/>
  <c r="I26" i="5"/>
  <c r="L16" i="5"/>
  <c r="F22" i="5"/>
  <c r="K16" i="5"/>
  <c r="L24" i="5"/>
  <c r="J16" i="5"/>
  <c r="K24" i="5"/>
  <c r="I16" i="5"/>
  <c r="J24" i="5"/>
  <c r="I24" i="5"/>
  <c r="M15" i="5"/>
  <c r="L15" i="5"/>
  <c r="K15" i="5"/>
  <c r="M22" i="5"/>
  <c r="J18" i="5"/>
  <c r="J15" i="5"/>
  <c r="L22" i="5"/>
  <c r="I18" i="5"/>
  <c r="I15" i="5"/>
  <c r="H26" i="5"/>
  <c r="H18" i="5"/>
  <c r="G26" i="5"/>
  <c r="G18" i="5"/>
  <c r="F26" i="5"/>
  <c r="H24" i="5"/>
  <c r="F18" i="5"/>
  <c r="H16" i="5"/>
  <c r="M26" i="5"/>
  <c r="G24" i="5"/>
  <c r="M18" i="5"/>
  <c r="G16" i="5"/>
  <c r="H15" i="5"/>
  <c r="L26" i="5"/>
  <c r="F24" i="5"/>
  <c r="H22" i="5"/>
  <c r="L18" i="5"/>
  <c r="F16" i="5"/>
  <c r="G15" i="5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C14" i="4"/>
  <c r="C15" i="4"/>
  <c r="D15" i="4"/>
  <c r="C16" i="4"/>
  <c r="D16" i="4"/>
  <c r="E16" i="4"/>
  <c r="C17" i="4"/>
  <c r="D17" i="4"/>
  <c r="E17" i="4"/>
  <c r="F17" i="4"/>
  <c r="C18" i="4"/>
  <c r="D18" i="4"/>
  <c r="E18" i="4"/>
  <c r="F18" i="4"/>
  <c r="G18" i="4"/>
  <c r="C19" i="4"/>
  <c r="D19" i="4"/>
  <c r="E19" i="4"/>
  <c r="F19" i="4"/>
  <c r="G19" i="4"/>
  <c r="H19" i="4"/>
  <c r="C20" i="4"/>
  <c r="D20" i="4"/>
  <c r="E20" i="4"/>
  <c r="F20" i="4"/>
  <c r="G20" i="4"/>
  <c r="H20" i="4"/>
  <c r="C21" i="4"/>
  <c r="D21" i="4"/>
  <c r="E21" i="4"/>
  <c r="F21" i="4"/>
  <c r="G21" i="4"/>
  <c r="H21" i="4"/>
  <c r="I21" i="4"/>
  <c r="J21" i="4"/>
  <c r="C22" i="4"/>
  <c r="D22" i="4"/>
  <c r="E22" i="4"/>
  <c r="F22" i="4"/>
  <c r="G22" i="4"/>
  <c r="H22" i="4"/>
  <c r="I22" i="4"/>
  <c r="J22" i="4"/>
  <c r="K22" i="4"/>
  <c r="C23" i="4"/>
  <c r="D23" i="4"/>
  <c r="E23" i="4"/>
  <c r="F23" i="4"/>
  <c r="H23" i="4"/>
  <c r="I23" i="4"/>
  <c r="J23" i="4"/>
  <c r="K23" i="4"/>
  <c r="L23" i="4"/>
  <c r="C24" i="4"/>
  <c r="D24" i="4"/>
  <c r="E24" i="4"/>
  <c r="F24" i="4"/>
  <c r="G24" i="4"/>
  <c r="H24" i="4"/>
  <c r="I24" i="4"/>
  <c r="J24" i="4"/>
  <c r="K24" i="4"/>
  <c r="L24" i="4"/>
  <c r="M24" i="4"/>
  <c r="C25" i="4"/>
  <c r="D25" i="4"/>
  <c r="E25" i="4"/>
  <c r="F25" i="4"/>
  <c r="G25" i="4"/>
  <c r="H25" i="4"/>
  <c r="I25" i="4"/>
  <c r="J25" i="4"/>
  <c r="K25" i="4"/>
  <c r="L25" i="4"/>
  <c r="M25" i="4"/>
  <c r="N25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D8" i="1"/>
  <c r="E8" i="1" s="1"/>
  <c r="C5" i="1"/>
  <c r="G30" i="1"/>
  <c r="F30" i="1"/>
  <c r="D12" i="1"/>
  <c r="F5" i="1" l="1"/>
  <c r="E24" i="1"/>
  <c r="E21" i="1"/>
  <c r="E18" i="1"/>
  <c r="C27" i="1"/>
  <c r="D27" i="1" s="1"/>
  <c r="F24" i="1"/>
  <c r="D15" i="1"/>
  <c r="F18" i="1" l="1"/>
  <c r="F21" i="1"/>
  <c r="F4" i="4"/>
  <c r="E74" i="4" l="1"/>
</calcChain>
</file>

<file path=xl/sharedStrings.xml><?xml version="1.0" encoding="utf-8"?>
<sst xmlns="http://schemas.openxmlformats.org/spreadsheetml/2006/main" count="141" uniqueCount="108">
  <si>
    <t>linear slots</t>
  </si>
  <si>
    <t>L/s</t>
  </si>
  <si>
    <t>plenum length</t>
  </si>
  <si>
    <t>flexible duct</t>
  </si>
  <si>
    <t>Diameter</t>
  </si>
  <si>
    <t>Envar Engineers  - Engineering Reference Sheet</t>
  </si>
  <si>
    <t>DIFFUSION</t>
  </si>
  <si>
    <t>louvre/door grille</t>
  </si>
  <si>
    <t>DUCT DESIGN</t>
  </si>
  <si>
    <t>Known Width</t>
  </si>
  <si>
    <t>x Height</t>
  </si>
  <si>
    <t>Grille Sq.m</t>
  </si>
  <si>
    <t>grille velocity m/s</t>
  </si>
  <si>
    <t>Sq. Grille Size</t>
  </si>
  <si>
    <t>eggcrate grille</t>
  </si>
  <si>
    <t>-</t>
  </si>
  <si>
    <t>4-way blow</t>
  </si>
  <si>
    <t>Neck Size mm</t>
  </si>
  <si>
    <t># of Slots</t>
  </si>
  <si>
    <r>
      <t xml:space="preserve"> </t>
    </r>
    <r>
      <rPr>
        <i/>
        <sz val="11"/>
        <color theme="1"/>
        <rFont val="Calibri"/>
        <family val="2"/>
        <scheme val="minor"/>
      </rPr>
      <t>*SW Hart</t>
    </r>
  </si>
  <si>
    <t>swirl diffuser</t>
  </si>
  <si>
    <r>
      <t xml:space="preserve"> </t>
    </r>
    <r>
      <rPr>
        <i/>
        <sz val="11"/>
        <color theme="1"/>
        <rFont val="Calibri"/>
        <family val="2"/>
        <scheme val="minor"/>
      </rPr>
      <t>*Krantz</t>
    </r>
  </si>
  <si>
    <t>grille face sizes</t>
  </si>
  <si>
    <t>Neck Size</t>
  </si>
  <si>
    <t>500mm</t>
  </si>
  <si>
    <t>355mm</t>
  </si>
  <si>
    <t>Collar Size</t>
  </si>
  <si>
    <t>perforated grille</t>
  </si>
  <si>
    <t>F/A Mesh</t>
  </si>
  <si>
    <t xml:space="preserve">perf free/area </t>
  </si>
  <si>
    <t>oval spigots</t>
  </si>
  <si>
    <t>Max Height</t>
  </si>
  <si>
    <t>Spigot Length</t>
  </si>
  <si>
    <r>
      <t xml:space="preserve"> </t>
    </r>
    <r>
      <rPr>
        <sz val="11"/>
        <color theme="1"/>
        <rFont val="Calibri"/>
        <family val="2"/>
        <scheme val="minor"/>
      </rPr>
      <t>*</t>
    </r>
    <r>
      <rPr>
        <i/>
        <sz val="11"/>
        <color theme="1"/>
        <rFont val="Calibri"/>
        <family val="2"/>
        <scheme val="minor"/>
      </rPr>
      <t>Bullocks</t>
    </r>
  </si>
  <si>
    <t>100H</t>
  </si>
  <si>
    <t>150H</t>
  </si>
  <si>
    <t>200H</t>
  </si>
  <si>
    <t>250H</t>
  </si>
  <si>
    <t>300H</t>
  </si>
  <si>
    <t>178L</t>
  </si>
  <si>
    <t>256L</t>
  </si>
  <si>
    <t>228L</t>
  </si>
  <si>
    <t>306L</t>
  </si>
  <si>
    <t>278L</t>
  </si>
  <si>
    <t>384L</t>
  </si>
  <si>
    <t>356L</t>
  </si>
  <si>
    <t>434L</t>
  </si>
  <si>
    <t>406L</t>
  </si>
  <si>
    <t>484L</t>
  </si>
  <si>
    <t>456L</t>
  </si>
  <si>
    <t>562L</t>
  </si>
  <si>
    <t>534L</t>
  </si>
  <si>
    <t>electric duct heater</t>
  </si>
  <si>
    <t>Current Amps</t>
  </si>
  <si>
    <r>
      <t xml:space="preserve">Temp. </t>
    </r>
    <r>
      <rPr>
        <sz val="11"/>
        <color theme="1"/>
        <rFont val="Calibri"/>
        <family val="2"/>
      </rPr>
      <t>ΔT</t>
    </r>
  </si>
  <si>
    <t>Capacity kW</t>
  </si>
  <si>
    <r>
      <t xml:space="preserve"> </t>
    </r>
    <r>
      <rPr>
        <i/>
        <sz val="11"/>
        <color theme="1"/>
        <rFont val="Calibri"/>
        <family val="2"/>
        <scheme val="minor"/>
      </rPr>
      <t>*Grimwood</t>
    </r>
  </si>
  <si>
    <t xml:space="preserve">Speed Through Square Duct W x h </t>
  </si>
  <si>
    <t>&gt; 5,0</t>
  </si>
  <si>
    <t>4,0 - 5,0</t>
  </si>
  <si>
    <t>3,0 - 4,0</t>
  </si>
  <si>
    <t>2,0 - 3,0</t>
  </si>
  <si>
    <t>Speed Through Round Duct</t>
  </si>
  <si>
    <t>&lt; 2,0</t>
  </si>
  <si>
    <t>Pa/m Loss</t>
  </si>
  <si>
    <t>l/s</t>
  </si>
  <si>
    <t>Flowrate</t>
  </si>
  <si>
    <t>m/s</t>
  </si>
  <si>
    <t>m3/h</t>
  </si>
  <si>
    <t>Ductulator</t>
  </si>
  <si>
    <t>[mm]</t>
  </si>
  <si>
    <t>Luchtsnelheid [m/s]</t>
  </si>
  <si>
    <t>nom D.</t>
  </si>
  <si>
    <t>Maximaal luchtdebiet [m3/h] om gegeven luchtsnelheid niet te overschrijden</t>
  </si>
  <si>
    <t>*: in gangen, **: in verblijfsgebieden (ook voor verticale kanalen?)</t>
  </si>
  <si>
    <t>2,5</t>
  </si>
  <si>
    <t>4* - 3**</t>
  </si>
  <si>
    <t>6</t>
  </si>
  <si>
    <t>Schreuder Groep (uit een bestek)</t>
  </si>
  <si>
    <t>3 - 2,5</t>
  </si>
  <si>
    <t>4,5 - 4</t>
  </si>
  <si>
    <t>5</t>
  </si>
  <si>
    <t>Remy Krom (Uticon Dynatherm)</t>
  </si>
  <si>
    <t>3,5 - 3</t>
  </si>
  <si>
    <t>5 - 3,5</t>
  </si>
  <si>
    <t>8 - 6</t>
  </si>
  <si>
    <t>Peter de Jong (Burgers Ergon)</t>
  </si>
  <si>
    <t>bij/aansluiting
op roosters</t>
  </si>
  <si>
    <t>aftakkingen
naar roosters</t>
  </si>
  <si>
    <t>horizontale
distributiekanalen</t>
  </si>
  <si>
    <t>Aftakking van
hoofdkanaal</t>
  </si>
  <si>
    <t>Vanaf LBK 
naar hoofdkanaal</t>
  </si>
  <si>
    <t>Bedrijf/persoon</t>
  </si>
  <si>
    <t>Richtlijnen voor aan te houden luchtsnelheden</t>
  </si>
  <si>
    <t>Velocity m/s</t>
  </si>
  <si>
    <t>Ver 1.1</t>
  </si>
  <si>
    <t>bar grille/half chevron</t>
  </si>
  <si>
    <t>Airflow Rate</t>
  </si>
  <si>
    <t>PIPE SYSTEMS</t>
  </si>
  <si>
    <t>Duct Width</t>
  </si>
  <si>
    <t>Duct Length</t>
  </si>
  <si>
    <t>Legend [m/s]</t>
  </si>
  <si>
    <t>Velocity</t>
  </si>
  <si>
    <t>*Envar</t>
  </si>
  <si>
    <t>Errors</t>
  </si>
  <si>
    <t>*Select Cell &amp; Press F9</t>
  </si>
  <si>
    <t>l x w</t>
  </si>
  <si>
    <t>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</si>
</sst>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8"/>
      <color rgb="FF0070C0"/>
      <name val="Calibri"/>
      <family val="2"/>
      <scheme val="minor"/>
    </font>
    <font>
      <sz val="11"/>
      <name val="Calibri"/>
      <family val="2"/>
      <scheme val="minor"/>
    </font>
    <font>
      <b/>
      <i/>
      <sz val="10"/>
      <color rgb="FF0070C0"/>
      <name val="Calibri"/>
      <family val="2"/>
      <scheme val="minor"/>
    </font>
    <font>
      <i/>
      <u/>
      <sz val="11"/>
      <color rgb="FF00B050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color indexed="8"/>
      <name val="Arial"/>
      <family val="2"/>
    </font>
    <font>
      <i/>
      <sz val="11"/>
      <color rgb="FFFF0000"/>
      <name val="Calibri"/>
      <family val="2"/>
      <scheme val="minor"/>
    </font>
    <font>
      <b/>
      <i/>
      <sz val="10"/>
      <name val="Arial"/>
      <family val="2"/>
    </font>
    <font>
      <b/>
      <i/>
      <sz val="14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39997558519241921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Dashed">
        <color indexed="64"/>
      </bottom>
      <diagonal/>
    </border>
    <border>
      <left/>
      <right/>
      <top style="medium">
        <color indexed="64"/>
      </top>
      <bottom style="medium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149">
    <xf numFmtId="0" fontId="0" fillId="0" borderId="0" xfId="0"/>
    <xf numFmtId="1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" fontId="0" fillId="3" borderId="16" xfId="0" applyNumberFormat="1" applyFill="1" applyBorder="1" applyAlignment="1">
      <alignment horizontal="center"/>
    </xf>
    <xf numFmtId="1" fontId="0" fillId="3" borderId="17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  <xf numFmtId="2" fontId="3" fillId="3" borderId="4" xfId="0" applyNumberFormat="1" applyFon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2" borderId="3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16" xfId="0" applyFill="1" applyBorder="1" applyAlignment="1" applyProtection="1">
      <alignment horizontal="center"/>
      <protection locked="0"/>
    </xf>
    <xf numFmtId="1" fontId="0" fillId="0" borderId="0" xfId="0" applyNumberFormat="1" applyAlignment="1">
      <alignment horizontal="left"/>
    </xf>
    <xf numFmtId="2" fontId="3" fillId="0" borderId="0" xfId="0" applyNumberFormat="1" applyFont="1" applyAlignment="1">
      <alignment horizontal="center"/>
    </xf>
    <xf numFmtId="9" fontId="0" fillId="2" borderId="16" xfId="0" applyNumberFormat="1" applyFill="1" applyBorder="1" applyAlignment="1" applyProtection="1">
      <alignment horizontal="center"/>
      <protection locked="0"/>
    </xf>
    <xf numFmtId="1" fontId="0" fillId="2" borderId="16" xfId="0" applyNumberFormat="1" applyFill="1" applyBorder="1" applyAlignment="1" applyProtection="1">
      <alignment horizontal="center"/>
      <protection locked="0"/>
    </xf>
    <xf numFmtId="0" fontId="0" fillId="3" borderId="1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5" xfId="0" quotePrefix="1" applyFill="1" applyBorder="1" applyAlignment="1">
      <alignment horizont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3" xfId="0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left"/>
    </xf>
    <xf numFmtId="0" fontId="0" fillId="0" borderId="15" xfId="0" applyBorder="1" applyAlignment="1">
      <alignment horizontal="center"/>
    </xf>
    <xf numFmtId="0" fontId="0" fillId="0" borderId="7" xfId="0" applyBorder="1"/>
    <xf numFmtId="0" fontId="0" fillId="0" borderId="9" xfId="0" applyBorder="1"/>
    <xf numFmtId="1" fontId="0" fillId="3" borderId="5" xfId="0" applyNumberForma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9" fontId="0" fillId="0" borderId="13" xfId="0" applyNumberFormat="1" applyBorder="1" applyAlignment="1">
      <alignment horizontal="center"/>
    </xf>
    <xf numFmtId="9" fontId="0" fillId="0" borderId="14" xfId="0" applyNumberFormat="1" applyBorder="1" applyAlignment="1">
      <alignment horizontal="center"/>
    </xf>
    <xf numFmtId="0" fontId="7" fillId="0" borderId="0" xfId="1"/>
    <xf numFmtId="164" fontId="7" fillId="4" borderId="22" xfId="1" applyNumberFormat="1" applyFill="1" applyBorder="1" applyAlignment="1">
      <alignment horizontal="center"/>
    </xf>
    <xf numFmtId="0" fontId="7" fillId="0" borderId="24" xfId="1" applyBorder="1" applyAlignment="1">
      <alignment horizontal="center"/>
    </xf>
    <xf numFmtId="164" fontId="7" fillId="4" borderId="15" xfId="1" applyNumberFormat="1" applyFill="1" applyBorder="1" applyAlignment="1">
      <alignment horizontal="center"/>
    </xf>
    <xf numFmtId="164" fontId="7" fillId="0" borderId="22" xfId="1" applyNumberFormat="1" applyBorder="1" applyAlignment="1">
      <alignment horizontal="center"/>
    </xf>
    <xf numFmtId="164" fontId="7" fillId="4" borderId="25" xfId="1" applyNumberFormat="1" applyFill="1" applyBorder="1" applyAlignment="1">
      <alignment horizontal="center"/>
    </xf>
    <xf numFmtId="0" fontId="7" fillId="0" borderId="20" xfId="1" applyBorder="1" applyAlignment="1">
      <alignment horizontal="center"/>
    </xf>
    <xf numFmtId="0" fontId="7" fillId="0" borderId="15" xfId="1" applyBorder="1"/>
    <xf numFmtId="0" fontId="7" fillId="0" borderId="15" xfId="1" applyBorder="1" applyAlignment="1">
      <alignment horizontal="center"/>
    </xf>
    <xf numFmtId="0" fontId="7" fillId="0" borderId="26" xfId="1" applyBorder="1"/>
    <xf numFmtId="0" fontId="7" fillId="0" borderId="26" xfId="1" applyBorder="1" applyAlignment="1">
      <alignment horizontal="center"/>
    </xf>
    <xf numFmtId="164" fontId="7" fillId="0" borderId="26" xfId="1" applyNumberFormat="1" applyBorder="1" applyAlignment="1">
      <alignment horizontal="center"/>
    </xf>
    <xf numFmtId="164" fontId="7" fillId="4" borderId="14" xfId="1" applyNumberFormat="1" applyFill="1" applyBorder="1" applyAlignment="1">
      <alignment horizontal="center"/>
    </xf>
    <xf numFmtId="0" fontId="7" fillId="0" borderId="27" xfId="1" applyBorder="1" applyAlignment="1">
      <alignment horizontal="center"/>
    </xf>
    <xf numFmtId="0" fontId="7" fillId="0" borderId="28" xfId="1" applyBorder="1" applyAlignment="1">
      <alignment horizontal="center"/>
    </xf>
    <xf numFmtId="0" fontId="7" fillId="0" borderId="29" xfId="1" applyBorder="1" applyAlignment="1">
      <alignment horizontal="center"/>
    </xf>
    <xf numFmtId="0" fontId="7" fillId="0" borderId="30" xfId="1" applyBorder="1" applyAlignment="1">
      <alignment horizontal="center"/>
    </xf>
    <xf numFmtId="0" fontId="7" fillId="0" borderId="31" xfId="1" applyBorder="1" applyAlignment="1">
      <alignment horizontal="center"/>
    </xf>
    <xf numFmtId="0" fontId="8" fillId="0" borderId="0" xfId="1" applyFont="1"/>
    <xf numFmtId="164" fontId="7" fillId="0" borderId="0" xfId="1" applyNumberFormat="1" applyAlignment="1">
      <alignment horizontal="center"/>
    </xf>
    <xf numFmtId="0" fontId="7" fillId="4" borderId="15" xfId="1" applyFill="1" applyBorder="1"/>
    <xf numFmtId="0" fontId="7" fillId="0" borderId="0" xfId="1" applyAlignment="1">
      <alignment horizontal="right"/>
    </xf>
    <xf numFmtId="164" fontId="9" fillId="0" borderId="0" xfId="1" applyNumberFormat="1" applyFont="1" applyAlignment="1">
      <alignment horizontal="left"/>
    </xf>
    <xf numFmtId="0" fontId="7" fillId="5" borderId="15" xfId="1" applyFill="1" applyBorder="1"/>
    <xf numFmtId="164" fontId="7" fillId="4" borderId="32" xfId="1" applyNumberFormat="1" applyFill="1" applyBorder="1" applyAlignment="1">
      <alignment horizontal="center"/>
    </xf>
    <xf numFmtId="0" fontId="7" fillId="6" borderId="15" xfId="1" applyFill="1" applyBorder="1"/>
    <xf numFmtId="0" fontId="10" fillId="7" borderId="29" xfId="1" applyFont="1" applyFill="1" applyBorder="1" applyAlignment="1">
      <alignment horizontal="center" wrapText="1"/>
    </xf>
    <xf numFmtId="0" fontId="10" fillId="8" borderId="29" xfId="1" applyFont="1" applyFill="1" applyBorder="1" applyAlignment="1">
      <alignment horizontal="center" wrapText="1"/>
    </xf>
    <xf numFmtId="0" fontId="7" fillId="9" borderId="15" xfId="1" applyFill="1" applyBorder="1"/>
    <xf numFmtId="0" fontId="7" fillId="0" borderId="13" xfId="1" applyBorder="1" applyAlignment="1">
      <alignment horizontal="center"/>
    </xf>
    <xf numFmtId="0" fontId="10" fillId="0" borderId="33" xfId="1" applyFont="1" applyBorder="1" applyAlignment="1">
      <alignment horizontal="center" wrapText="1"/>
    </xf>
    <xf numFmtId="1" fontId="7" fillId="0" borderId="1" xfId="1" applyNumberFormat="1" applyBorder="1" applyAlignment="1">
      <alignment horizontal="center"/>
    </xf>
    <xf numFmtId="0" fontId="10" fillId="7" borderId="34" xfId="1" applyFont="1" applyFill="1" applyBorder="1" applyAlignment="1">
      <alignment horizontal="center" wrapText="1"/>
    </xf>
    <xf numFmtId="0" fontId="10" fillId="8" borderId="34" xfId="1" applyFont="1" applyFill="1" applyBorder="1" applyAlignment="1">
      <alignment horizontal="center" wrapText="1"/>
    </xf>
    <xf numFmtId="0" fontId="7" fillId="0" borderId="0" xfId="1" applyAlignment="1">
      <alignment horizontal="left"/>
    </xf>
    <xf numFmtId="0" fontId="10" fillId="7" borderId="1" xfId="1" applyFont="1" applyFill="1" applyBorder="1" applyAlignment="1">
      <alignment horizontal="center" wrapText="1"/>
    </xf>
    <xf numFmtId="0" fontId="10" fillId="7" borderId="33" xfId="1" applyFont="1" applyFill="1" applyBorder="1" applyAlignment="1">
      <alignment horizontal="center" wrapText="1"/>
    </xf>
    <xf numFmtId="0" fontId="10" fillId="7" borderId="35" xfId="1" applyFont="1" applyFill="1" applyBorder="1" applyAlignment="1">
      <alignment horizontal="center" vertical="top" wrapText="1"/>
    </xf>
    <xf numFmtId="0" fontId="10" fillId="7" borderId="18" xfId="1" applyFont="1" applyFill="1" applyBorder="1" applyAlignment="1">
      <alignment horizontal="center" vertical="top" wrapText="1"/>
    </xf>
    <xf numFmtId="0" fontId="7" fillId="11" borderId="0" xfId="1" applyFill="1" applyAlignment="1">
      <alignment horizontal="left"/>
    </xf>
    <xf numFmtId="0" fontId="9" fillId="0" borderId="0" xfId="1" applyFont="1" applyAlignment="1">
      <alignment horizontal="left"/>
    </xf>
    <xf numFmtId="49" fontId="7" fillId="0" borderId="0" xfId="1" applyNumberFormat="1"/>
    <xf numFmtId="49" fontId="7" fillId="0" borderId="15" xfId="1" applyNumberFormat="1" applyBorder="1" applyAlignment="1">
      <alignment horizontal="center"/>
    </xf>
    <xf numFmtId="0" fontId="7" fillId="7" borderId="15" xfId="1" applyFill="1" applyBorder="1" applyAlignment="1">
      <alignment horizontal="center" wrapText="1"/>
    </xf>
    <xf numFmtId="0" fontId="7" fillId="7" borderId="15" xfId="1" applyFill="1" applyBorder="1" applyAlignment="1">
      <alignment horizontal="center" vertical="top"/>
    </xf>
    <xf numFmtId="0" fontId="7" fillId="0" borderId="0" xfId="1" applyAlignment="1">
      <alignment horizontal="center"/>
    </xf>
    <xf numFmtId="0" fontId="0" fillId="2" borderId="6" xfId="0" applyFill="1" applyBorder="1" applyAlignment="1" applyProtection="1">
      <alignment horizontal="center"/>
      <protection locked="0"/>
    </xf>
    <xf numFmtId="0" fontId="0" fillId="0" borderId="1" xfId="0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2" borderId="39" xfId="0" applyFill="1" applyBorder="1" applyAlignment="1" applyProtection="1">
      <alignment horizontal="center"/>
      <protection locked="0"/>
    </xf>
    <xf numFmtId="164" fontId="7" fillId="0" borderId="0" xfId="1" applyNumberFormat="1"/>
    <xf numFmtId="164" fontId="0" fillId="0" borderId="0" xfId="0" applyNumberFormat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3" xfId="0" applyNumberFormat="1" applyBorder="1"/>
    <xf numFmtId="164" fontId="0" fillId="0" borderId="14" xfId="0" applyNumberFormat="1" applyBorder="1" applyAlignment="1">
      <alignment horizontal="center"/>
    </xf>
    <xf numFmtId="0" fontId="1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3" fillId="2" borderId="5" xfId="0" applyFont="1" applyFill="1" applyBorder="1" applyAlignment="1" applyProtection="1">
      <alignment horizontal="center"/>
      <protection locked="0"/>
    </xf>
    <xf numFmtId="0" fontId="11" fillId="0" borderId="0" xfId="0" applyFont="1"/>
    <xf numFmtId="0" fontId="11" fillId="0" borderId="0" xfId="0" applyFont="1" applyAlignment="1">
      <alignment horizontal="left"/>
    </xf>
    <xf numFmtId="0" fontId="1" fillId="0" borderId="0" xfId="0" applyFont="1"/>
    <xf numFmtId="0" fontId="12" fillId="0" borderId="0" xfId="1" applyFont="1"/>
    <xf numFmtId="1" fontId="7" fillId="0" borderId="15" xfId="1" applyNumberFormat="1" applyBorder="1" applyAlignment="1">
      <alignment horizontal="center"/>
    </xf>
    <xf numFmtId="2" fontId="7" fillId="12" borderId="15" xfId="1" applyNumberFormat="1" applyFill="1" applyBorder="1" applyAlignment="1">
      <alignment horizontal="center"/>
    </xf>
    <xf numFmtId="0" fontId="7" fillId="10" borderId="26" xfId="1" applyFill="1" applyBorder="1" applyAlignment="1" applyProtection="1">
      <alignment horizontal="center"/>
      <protection locked="0"/>
    </xf>
    <xf numFmtId="0" fontId="14" fillId="0" borderId="0" xfId="1" applyFont="1"/>
    <xf numFmtId="166" fontId="17" fillId="0" borderId="0" xfId="0" applyNumberFormat="1" applyFont="1" applyAlignment="1">
      <alignment horizontal="center"/>
    </xf>
    <xf numFmtId="165" fontId="15" fillId="0" borderId="0" xfId="0" applyNumberFormat="1" applyFont="1"/>
    <xf numFmtId="165" fontId="15" fillId="0" borderId="0" xfId="1" applyNumberFormat="1" applyFont="1"/>
    <xf numFmtId="165" fontId="15" fillId="0" borderId="0" xfId="1" applyNumberFormat="1" applyFont="1" applyAlignment="1">
      <alignment horizontal="center"/>
    </xf>
    <xf numFmtId="165" fontId="17" fillId="13" borderId="0" xfId="0" applyNumberFormat="1" applyFont="1" applyFill="1"/>
    <xf numFmtId="165" fontId="17" fillId="0" borderId="15" xfId="0" applyNumberFormat="1" applyFont="1" applyBorder="1" applyAlignment="1">
      <alignment horizontal="center"/>
    </xf>
    <xf numFmtId="165" fontId="17" fillId="4" borderId="15" xfId="0" applyNumberFormat="1" applyFont="1" applyFill="1" applyBorder="1" applyAlignment="1">
      <alignment horizontal="center"/>
    </xf>
    <xf numFmtId="165" fontId="17" fillId="0" borderId="26" xfId="0" applyNumberFormat="1" applyFont="1" applyBorder="1" applyAlignment="1">
      <alignment horizontal="center"/>
    </xf>
    <xf numFmtId="166" fontId="15" fillId="0" borderId="0" xfId="0" applyNumberFormat="1" applyFont="1"/>
    <xf numFmtId="166" fontId="15" fillId="0" borderId="0" xfId="1" applyNumberFormat="1" applyFont="1"/>
    <xf numFmtId="166" fontId="17" fillId="0" borderId="0" xfId="0" applyNumberFormat="1" applyFont="1"/>
    <xf numFmtId="1" fontId="15" fillId="0" borderId="0" xfId="0" applyNumberFormat="1" applyFont="1"/>
    <xf numFmtId="1" fontId="15" fillId="0" borderId="0" xfId="0" applyNumberFormat="1" applyFont="1" applyAlignment="1">
      <alignment horizontal="center"/>
    </xf>
    <xf numFmtId="1" fontId="15" fillId="0" borderId="0" xfId="1" applyNumberFormat="1" applyFont="1"/>
    <xf numFmtId="1" fontId="16" fillId="0" borderId="0" xfId="1" applyNumberFormat="1" applyFont="1"/>
    <xf numFmtId="1" fontId="15" fillId="0" borderId="0" xfId="1" applyNumberFormat="1" applyFont="1" applyAlignment="1">
      <alignment horizontal="center"/>
    </xf>
    <xf numFmtId="2" fontId="7" fillId="0" borderId="15" xfId="1" applyNumberFormat="1" applyBorder="1" applyAlignment="1">
      <alignment horizontal="center"/>
    </xf>
    <xf numFmtId="0" fontId="7" fillId="14" borderId="15" xfId="1" applyFill="1" applyBorder="1"/>
    <xf numFmtId="0" fontId="13" fillId="0" borderId="0" xfId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0" fillId="7" borderId="38" xfId="1" applyFont="1" applyFill="1" applyBorder="1" applyAlignment="1">
      <alignment horizontal="center" vertical="top" wrapText="1"/>
    </xf>
    <xf numFmtId="0" fontId="10" fillId="7" borderId="37" xfId="1" applyFont="1" applyFill="1" applyBorder="1" applyAlignment="1">
      <alignment horizontal="center" vertical="top" wrapText="1"/>
    </xf>
    <xf numFmtId="0" fontId="10" fillId="7" borderId="36" xfId="1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5">
    <dxf>
      <fill>
        <patternFill>
          <bgColor indexed="26"/>
        </patternFill>
      </fill>
    </dxf>
    <dxf>
      <fill>
        <patternFill>
          <bgColor indexed="53"/>
        </patternFill>
      </fill>
    </dxf>
    <dxf>
      <fill>
        <patternFill>
          <bgColor indexed="51"/>
        </patternFill>
      </fill>
    </dxf>
    <dxf>
      <font>
        <strike/>
      </font>
      <fill>
        <patternFill>
          <bgColor theme="1" tint="0.499984740745262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colors>
    <mruColors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J32"/>
  <sheetViews>
    <sheetView topLeftCell="A13" zoomScaleNormal="100" workbookViewId="0">
      <selection activeCell="B24" sqref="B24"/>
    </sheetView>
  </sheetViews>
  <sheetFormatPr defaultColWidth="9.1796875" defaultRowHeight="14.5" x14ac:dyDescent="0.35"/>
  <cols>
    <col min="1" max="1" width="20.7265625" style="21" customWidth="1"/>
    <col min="3" max="8" width="14.7265625" customWidth="1"/>
    <col min="9" max="9" width="2.7265625" customWidth="1"/>
    <col min="10" max="10" width="40.7265625" customWidth="1"/>
    <col min="11" max="11" width="9.1796875" customWidth="1"/>
    <col min="12" max="62" width="4.7265625" hidden="1" customWidth="1"/>
    <col min="63" max="72" width="4.7265625" customWidth="1"/>
  </cols>
  <sheetData>
    <row r="1" spans="1:62" ht="15" customHeight="1" x14ac:dyDescent="0.35">
      <c r="A1" s="145" t="s">
        <v>5</v>
      </c>
      <c r="B1" s="145"/>
      <c r="C1" s="145"/>
      <c r="D1" s="145"/>
      <c r="E1" s="145"/>
      <c r="F1" s="145"/>
      <c r="G1" s="18"/>
      <c r="H1" s="18"/>
      <c r="I1" s="18"/>
      <c r="J1" s="18"/>
    </row>
    <row r="2" spans="1:62" ht="15" customHeight="1" x14ac:dyDescent="0.35">
      <c r="A2" s="145"/>
      <c r="B2" s="145"/>
      <c r="C2" s="145"/>
      <c r="D2" s="145"/>
      <c r="E2" s="145"/>
      <c r="F2" s="145"/>
      <c r="G2" s="19" t="s">
        <v>95</v>
      </c>
      <c r="H2" s="19"/>
      <c r="I2" s="19"/>
      <c r="J2" s="19"/>
    </row>
    <row r="3" spans="1:62" ht="15" thickBot="1" x14ac:dyDescent="0.4">
      <c r="A3" s="20" t="s">
        <v>8</v>
      </c>
      <c r="B3" s="21"/>
      <c r="C3" s="21"/>
      <c r="D3" s="5"/>
      <c r="E3" s="5"/>
      <c r="F3" s="22"/>
      <c r="G3" s="23"/>
      <c r="H3" s="23"/>
      <c r="I3" s="23"/>
      <c r="J3" s="116" t="s">
        <v>104</v>
      </c>
      <c r="L3" s="24">
        <v>0</v>
      </c>
      <c r="M3" s="25">
        <v>35</v>
      </c>
      <c r="N3" s="25">
        <v>80</v>
      </c>
      <c r="O3" s="25">
        <v>150</v>
      </c>
      <c r="P3" s="25">
        <v>210</v>
      </c>
      <c r="Q3" s="25">
        <v>280</v>
      </c>
      <c r="R3" s="26">
        <v>380</v>
      </c>
      <c r="T3" s="24"/>
      <c r="U3" s="25">
        <v>150</v>
      </c>
      <c r="V3" s="25">
        <v>200</v>
      </c>
      <c r="W3" s="25">
        <v>250</v>
      </c>
      <c r="X3" s="25">
        <v>300</v>
      </c>
      <c r="Y3" s="25">
        <v>350</v>
      </c>
      <c r="Z3" s="25">
        <v>400</v>
      </c>
      <c r="AA3" s="26">
        <v>450</v>
      </c>
    </row>
    <row r="4" spans="1:62" ht="15" thickBot="1" x14ac:dyDescent="0.4">
      <c r="B4" s="27" t="s">
        <v>1</v>
      </c>
      <c r="C4" s="28" t="s">
        <v>4</v>
      </c>
      <c r="D4" s="21"/>
      <c r="E4" s="27" t="s">
        <v>31</v>
      </c>
      <c r="F4" s="28" t="s">
        <v>32</v>
      </c>
      <c r="G4" s="23"/>
      <c r="H4" s="23"/>
      <c r="I4" s="23"/>
      <c r="J4" s="116"/>
      <c r="L4" s="29">
        <v>36</v>
      </c>
      <c r="M4" s="30">
        <v>81</v>
      </c>
      <c r="N4" s="30">
        <v>151</v>
      </c>
      <c r="O4" s="30">
        <v>211</v>
      </c>
      <c r="P4" s="30">
        <v>281</v>
      </c>
      <c r="Q4" s="30">
        <v>381</v>
      </c>
      <c r="R4" s="31">
        <v>476</v>
      </c>
      <c r="T4" s="106" t="s">
        <v>34</v>
      </c>
      <c r="U4" s="30" t="s">
        <v>39</v>
      </c>
      <c r="V4" s="21" t="s">
        <v>40</v>
      </c>
      <c r="W4" s="21"/>
      <c r="X4" s="21"/>
      <c r="Y4" s="21"/>
      <c r="Z4" s="21"/>
      <c r="AA4" s="32"/>
    </row>
    <row r="5" spans="1:62" ht="15" thickBot="1" x14ac:dyDescent="0.4">
      <c r="A5" s="28" t="s">
        <v>3</v>
      </c>
      <c r="B5" s="9"/>
      <c r="C5" s="2" t="str">
        <f>IF(AND(B5&gt;MIN(L3),B5&lt;MAX(L4)),L5,IF(AND(B5&gt;MIN(M3),B5&lt;MAX(M4)),M5,IF(AND(B5&gt;MIN(N3),B5&lt;MAX(N4)),N5,IF(AND(B5&gt;MIN(O3),B5&lt;MAX(O4)),O5,IF(AND(B5&gt;MIN(P3),B5&lt;MAX(P4)),P5,IF(AND(B5&gt;MIN(Q3),B5&lt;MAX(Q4)),Q5,IF(AND(B5&gt;MIN(R3),B5&lt;MAX(R4)),R5,"-")))))))</f>
        <v>-</v>
      </c>
      <c r="D5" s="28" t="s">
        <v>30</v>
      </c>
      <c r="E5" s="117"/>
      <c r="F5" s="2" t="str">
        <f>IF(AND(C5=L5,E5=T4),U4,IF(AND(C5=M5,E5=T4),V4,IF(AND(C5=M5,E5=T5),V5,IF(AND(C5=N5,E5=T5),W5,IF(AND(C5=N5,E5=T6),W6,IF(AND(C5=O5,E5=T5),X5,IF(AND(C5=O5,E5=T6),X6,IF(AND(C5=P5,E5=T6),Y6,IF(AND(C5=P5,E5=T7),Y7,IF(AND(C5=Q5,E5=T7),Z7,IF(AND(C5=Q5,E5=T8),Z8,IF(AND(C5=R5,E5=T7),AA7,IF(AND(C5=R5,E5=T8),AA8,L11)))))))))))))</f>
        <v>-</v>
      </c>
      <c r="J5" s="118"/>
      <c r="L5" s="33">
        <v>150</v>
      </c>
      <c r="M5" s="34">
        <v>200</v>
      </c>
      <c r="N5" s="34">
        <v>250</v>
      </c>
      <c r="O5" s="34">
        <v>300</v>
      </c>
      <c r="P5" s="34">
        <v>350</v>
      </c>
      <c r="Q5" s="34">
        <v>400</v>
      </c>
      <c r="R5" s="35">
        <v>450</v>
      </c>
      <c r="T5" s="107" t="s">
        <v>35</v>
      </c>
      <c r="U5" s="30"/>
      <c r="V5" s="30" t="s">
        <v>41</v>
      </c>
      <c r="W5" s="30" t="s">
        <v>42</v>
      </c>
      <c r="X5" s="21" t="s">
        <v>44</v>
      </c>
      <c r="Y5" s="21"/>
      <c r="Z5" s="21"/>
      <c r="AA5" s="32"/>
    </row>
    <row r="6" spans="1:62" ht="15" thickBot="1" x14ac:dyDescent="0.4">
      <c r="A6" s="115" t="s">
        <v>103</v>
      </c>
      <c r="D6" s="23" t="s">
        <v>33</v>
      </c>
      <c r="J6" s="118"/>
      <c r="T6" s="107" t="s">
        <v>36</v>
      </c>
      <c r="U6" s="21"/>
      <c r="V6" s="21"/>
      <c r="W6" s="21" t="s">
        <v>43</v>
      </c>
      <c r="X6" s="21" t="s">
        <v>45</v>
      </c>
      <c r="Y6" s="21" t="s">
        <v>46</v>
      </c>
      <c r="Z6" s="21"/>
      <c r="AA6" s="32"/>
    </row>
    <row r="7" spans="1:62" ht="15" thickBot="1" x14ac:dyDescent="0.4">
      <c r="B7" s="28" t="s">
        <v>1</v>
      </c>
      <c r="C7" s="28" t="s">
        <v>54</v>
      </c>
      <c r="D7" s="36" t="s">
        <v>55</v>
      </c>
      <c r="E7" s="36" t="s">
        <v>53</v>
      </c>
      <c r="F7" s="37"/>
      <c r="J7" s="118"/>
      <c r="T7" s="107" t="s">
        <v>37</v>
      </c>
      <c r="U7" s="21"/>
      <c r="V7" s="21"/>
      <c r="W7" s="21"/>
      <c r="X7" s="21"/>
      <c r="Y7" s="21" t="s">
        <v>47</v>
      </c>
      <c r="Z7" s="21" t="s">
        <v>48</v>
      </c>
      <c r="AA7" s="38" t="s">
        <v>50</v>
      </c>
    </row>
    <row r="8" spans="1:62" ht="15" thickBot="1" x14ac:dyDescent="0.4">
      <c r="A8" s="28" t="s">
        <v>52</v>
      </c>
      <c r="B8" s="8"/>
      <c r="C8" s="9"/>
      <c r="D8" s="16" t="str">
        <f>IF(C8=0,L11,(B8/1000)*1.28*C8)</f>
        <v>-</v>
      </c>
      <c r="E8" s="17" t="str">
        <f>IF(C8=0,L11,((D8*4)/(IF(D8&lt;4.5,1,3))))</f>
        <v>-</v>
      </c>
      <c r="J8" s="118"/>
      <c r="L8" s="39"/>
      <c r="M8" s="40">
        <v>10</v>
      </c>
      <c r="N8" s="41">
        <v>15</v>
      </c>
      <c r="T8" s="108" t="s">
        <v>38</v>
      </c>
      <c r="U8" s="43"/>
      <c r="V8" s="43"/>
      <c r="W8" s="43"/>
      <c r="X8" s="43"/>
      <c r="Y8" s="43"/>
      <c r="Z8" s="43" t="s">
        <v>49</v>
      </c>
      <c r="AA8" s="44" t="s">
        <v>51</v>
      </c>
    </row>
    <row r="9" spans="1:62" x14ac:dyDescent="0.35">
      <c r="A9" s="37" t="s">
        <v>56</v>
      </c>
      <c r="J9" s="118"/>
      <c r="T9" s="45"/>
      <c r="U9" s="45"/>
      <c r="V9" s="45"/>
      <c r="W9" s="45"/>
      <c r="X9" s="45"/>
      <c r="Y9" s="45"/>
      <c r="Z9" s="45"/>
      <c r="AA9" s="46"/>
    </row>
    <row r="10" spans="1:62" ht="15" thickBot="1" x14ac:dyDescent="0.4">
      <c r="A10" s="20" t="s">
        <v>6</v>
      </c>
      <c r="J10" s="118"/>
    </row>
    <row r="11" spans="1:62" ht="15" thickBot="1" x14ac:dyDescent="0.4">
      <c r="B11" s="28" t="s">
        <v>1</v>
      </c>
      <c r="C11" s="28" t="s">
        <v>2</v>
      </c>
      <c r="D11" s="36" t="s">
        <v>18</v>
      </c>
      <c r="E11" s="47"/>
      <c r="F11" s="47"/>
      <c r="J11" s="118"/>
      <c r="L11" s="48" t="s">
        <v>15</v>
      </c>
    </row>
    <row r="12" spans="1:62" ht="15" thickBot="1" x14ac:dyDescent="0.4">
      <c r="A12" s="28" t="s">
        <v>0</v>
      </c>
      <c r="B12" s="8"/>
      <c r="C12" s="9"/>
      <c r="D12" s="1" t="str">
        <f>IF(C12=0,L11,(ROUNDUP(B12/(45*(C12/1000)),0)))</f>
        <v>-</v>
      </c>
      <c r="E12" s="11"/>
      <c r="F12" s="47"/>
      <c r="J12" s="118"/>
      <c r="N12" s="21"/>
      <c r="T12" s="21"/>
      <c r="U12" s="21"/>
      <c r="V12" s="21"/>
      <c r="W12" s="21"/>
      <c r="X12" s="21"/>
      <c r="Y12" s="21"/>
      <c r="Z12" s="21"/>
    </row>
    <row r="13" spans="1:62" ht="15" thickBot="1" x14ac:dyDescent="0.4">
      <c r="A13" s="47" t="s">
        <v>19</v>
      </c>
      <c r="E13" s="47"/>
      <c r="F13" s="47"/>
      <c r="J13" s="118"/>
      <c r="T13" s="21"/>
      <c r="U13" s="21"/>
      <c r="V13" s="21"/>
      <c r="W13" s="21"/>
      <c r="X13" s="21"/>
      <c r="Y13" s="21"/>
      <c r="Z13" s="21"/>
    </row>
    <row r="14" spans="1:62" ht="15" thickBot="1" x14ac:dyDescent="0.4">
      <c r="B14" s="27" t="s">
        <v>1</v>
      </c>
      <c r="C14" s="103" t="s">
        <v>94</v>
      </c>
      <c r="D14" s="36" t="s">
        <v>17</v>
      </c>
      <c r="E14" s="36" t="s">
        <v>11</v>
      </c>
      <c r="F14" s="47"/>
      <c r="J14" s="118"/>
      <c r="L14" s="49" t="s">
        <v>12</v>
      </c>
      <c r="M14" s="46"/>
      <c r="N14" s="46"/>
      <c r="O14" s="46"/>
      <c r="P14" s="46"/>
      <c r="Q14" s="46"/>
      <c r="R14" s="46"/>
      <c r="S14" s="46"/>
      <c r="T14" s="45"/>
      <c r="U14" s="45"/>
      <c r="V14" s="45"/>
      <c r="W14" s="45"/>
      <c r="X14" s="45"/>
      <c r="Y14" s="45"/>
      <c r="Z14" s="45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50"/>
    </row>
    <row r="15" spans="1:62" ht="15" thickBot="1" x14ac:dyDescent="0.4">
      <c r="A15" s="28" t="s">
        <v>16</v>
      </c>
      <c r="B15" s="102"/>
      <c r="C15" s="109"/>
      <c r="D15" s="51" t="str">
        <f>IF(B15=0,L11,MROUND((SQRT(E15)*1000),50))</f>
        <v>-</v>
      </c>
      <c r="E15" s="7" t="str">
        <f>IF(B15=0,L11,(B15/1000)/C15)</f>
        <v>-</v>
      </c>
      <c r="F15" s="47"/>
      <c r="J15" s="118" t="str">
        <f>IF(C15&gt;2.5, "Face Velocity exceeds manufacturer recommendation","")</f>
        <v/>
      </c>
      <c r="L15" s="104">
        <v>1</v>
      </c>
      <c r="M15" s="105">
        <v>1.1000000000000001</v>
      </c>
      <c r="N15" s="105">
        <v>1.2</v>
      </c>
      <c r="O15" s="105">
        <v>1.3</v>
      </c>
      <c r="P15" s="105">
        <v>1.4</v>
      </c>
      <c r="Q15" s="105">
        <v>1.5</v>
      </c>
      <c r="R15" s="105">
        <v>1.6</v>
      </c>
      <c r="S15" s="105">
        <v>1.7</v>
      </c>
      <c r="T15" s="105">
        <v>1.8</v>
      </c>
      <c r="U15" s="105">
        <v>1.9</v>
      </c>
      <c r="V15" s="105">
        <v>2</v>
      </c>
      <c r="W15" s="112">
        <v>2.1</v>
      </c>
      <c r="X15" s="112">
        <v>2.2000000000000002</v>
      </c>
      <c r="Y15" s="112">
        <v>2.2999999999999998</v>
      </c>
      <c r="Z15" s="112">
        <v>2.4</v>
      </c>
      <c r="AA15" s="112">
        <v>2.5</v>
      </c>
      <c r="AB15" s="112">
        <v>2.6</v>
      </c>
      <c r="AC15" s="112">
        <v>2.7</v>
      </c>
      <c r="AD15" s="112">
        <v>2.8</v>
      </c>
      <c r="AE15" s="112">
        <v>2.9</v>
      </c>
      <c r="AF15" s="112">
        <v>3</v>
      </c>
      <c r="AG15" s="112">
        <v>3.1</v>
      </c>
      <c r="AH15" s="112">
        <v>3.2</v>
      </c>
      <c r="AI15" s="112">
        <v>3.3</v>
      </c>
      <c r="AJ15" s="112">
        <v>3.4</v>
      </c>
      <c r="AK15" s="112">
        <v>3.5</v>
      </c>
      <c r="AL15" s="112">
        <v>3.6</v>
      </c>
      <c r="AM15" s="112">
        <v>3.7</v>
      </c>
      <c r="AN15" s="112">
        <v>3.8</v>
      </c>
      <c r="AO15" s="112">
        <v>3.9</v>
      </c>
      <c r="AP15" s="112">
        <v>4</v>
      </c>
      <c r="AQ15" s="112">
        <v>4.0999999999999996</v>
      </c>
      <c r="AR15" s="113">
        <v>4.2</v>
      </c>
      <c r="AS15" s="113">
        <v>4.3</v>
      </c>
      <c r="AT15" s="112">
        <v>4.4000000000000004</v>
      </c>
      <c r="AU15" s="112">
        <v>4.5</v>
      </c>
      <c r="AV15" s="112">
        <v>4.5999999999999996</v>
      </c>
      <c r="AW15" s="112">
        <v>4.7</v>
      </c>
      <c r="AX15" s="112">
        <v>4.8</v>
      </c>
      <c r="AY15" s="112">
        <v>4.9000000000000004</v>
      </c>
      <c r="AZ15" s="112">
        <v>5</v>
      </c>
      <c r="BA15" s="112">
        <v>5.0999999999999996</v>
      </c>
      <c r="BB15" s="112">
        <v>5.2</v>
      </c>
      <c r="BC15" s="112">
        <v>5.3</v>
      </c>
      <c r="BD15" s="112">
        <v>5.4</v>
      </c>
      <c r="BE15" s="112">
        <v>5.5</v>
      </c>
      <c r="BF15" s="112">
        <v>5.6</v>
      </c>
      <c r="BG15" s="112">
        <v>5.7</v>
      </c>
      <c r="BH15" s="112">
        <v>5.8</v>
      </c>
      <c r="BI15" s="112">
        <v>5.9</v>
      </c>
      <c r="BJ15" s="114">
        <v>6</v>
      </c>
    </row>
    <row r="16" spans="1:62" ht="15" thickBot="1" x14ac:dyDescent="0.4">
      <c r="A16" s="47" t="s">
        <v>19</v>
      </c>
      <c r="J16" s="118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</row>
    <row r="17" spans="1:27" ht="15" thickBot="1" x14ac:dyDescent="0.4">
      <c r="B17" s="28" t="s">
        <v>1</v>
      </c>
      <c r="C17" s="103" t="s">
        <v>94</v>
      </c>
      <c r="D17" s="28" t="s">
        <v>9</v>
      </c>
      <c r="E17" s="36" t="s">
        <v>10</v>
      </c>
      <c r="F17" s="36" t="s">
        <v>13</v>
      </c>
      <c r="G17" s="28" t="s">
        <v>11</v>
      </c>
      <c r="H17" s="47"/>
      <c r="I17" s="47"/>
      <c r="J17" s="119"/>
      <c r="K17" s="47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</row>
    <row r="18" spans="1:27" ht="15" thickBot="1" x14ac:dyDescent="0.4">
      <c r="A18" s="28" t="s">
        <v>7</v>
      </c>
      <c r="B18" s="8"/>
      <c r="C18" s="109"/>
      <c r="D18" s="10"/>
      <c r="E18" s="3" t="str">
        <f>IF(D18=0,L11,MROUND((G18/(D18/1000)*1000),25))</f>
        <v>-</v>
      </c>
      <c r="F18" s="4" t="str">
        <f>IF(B18=0,L11,MROUND(((SQRT(G18)*1000)),25))</f>
        <v>-</v>
      </c>
      <c r="G18" s="6" t="str">
        <f>IF(B18=0,L11,((B18/1000)/C18)*1.8)</f>
        <v>-</v>
      </c>
      <c r="H18" s="47"/>
      <c r="I18" s="47"/>
      <c r="J18" s="118" t="str">
        <f>IF(C18&gt;2.5, "Face Velocity exceeds manufacturer recommendation","")</f>
        <v/>
      </c>
      <c r="K18" s="47"/>
      <c r="L18" s="21"/>
      <c r="N18" s="21"/>
      <c r="T18" s="21"/>
      <c r="U18" s="21"/>
      <c r="V18" s="21"/>
      <c r="W18" s="21"/>
      <c r="X18" s="21"/>
      <c r="Y18" s="21"/>
      <c r="Z18" s="21"/>
    </row>
    <row r="19" spans="1:27" ht="15" thickBot="1" x14ac:dyDescent="0.4">
      <c r="A19" s="47" t="s">
        <v>19</v>
      </c>
      <c r="G19" s="47"/>
      <c r="H19" s="47"/>
      <c r="I19" s="47"/>
      <c r="J19" s="119"/>
      <c r="K19" s="47"/>
      <c r="T19" s="21"/>
      <c r="U19" s="21"/>
      <c r="V19" s="21"/>
      <c r="W19" s="21"/>
      <c r="X19" s="21"/>
      <c r="Y19" s="21"/>
      <c r="Z19" s="21"/>
    </row>
    <row r="20" spans="1:27" ht="15" thickBot="1" x14ac:dyDescent="0.4">
      <c r="B20" s="28" t="s">
        <v>1</v>
      </c>
      <c r="C20" s="103" t="s">
        <v>94</v>
      </c>
      <c r="D20" s="28" t="s">
        <v>9</v>
      </c>
      <c r="E20" s="36" t="s">
        <v>10</v>
      </c>
      <c r="F20" s="36" t="s">
        <v>13</v>
      </c>
      <c r="G20" s="28" t="s">
        <v>11</v>
      </c>
      <c r="H20" s="47"/>
      <c r="I20" s="47"/>
      <c r="J20" s="119"/>
      <c r="K20" s="47"/>
      <c r="T20" s="21"/>
      <c r="U20" s="21"/>
      <c r="V20" s="21"/>
      <c r="W20" s="21"/>
      <c r="X20" s="21"/>
      <c r="Y20" s="21"/>
      <c r="Z20" s="21"/>
    </row>
    <row r="21" spans="1:27" ht="15" thickBot="1" x14ac:dyDescent="0.4">
      <c r="A21" s="28" t="s">
        <v>14</v>
      </c>
      <c r="B21" s="8"/>
      <c r="C21" s="109"/>
      <c r="D21" s="10"/>
      <c r="E21" s="3" t="str">
        <f>IF(D21=0,L11,MROUND((G21/(D21/1000)*1000),25))</f>
        <v>-</v>
      </c>
      <c r="F21" s="4" t="str">
        <f>IF(B21=0,L11,MROUND((SQRT(G21)*1000),25))</f>
        <v>-</v>
      </c>
      <c r="G21" s="6" t="str">
        <f>IF(B21=0,L11,((B21/1000)/C21)*1.25)</f>
        <v>-</v>
      </c>
      <c r="H21" s="47"/>
      <c r="I21" s="47"/>
      <c r="J21" s="118" t="str">
        <f>IF(C21&gt;2.5, "Face Velocity exceeds manufacturer recommendation","")</f>
        <v/>
      </c>
      <c r="K21" s="47"/>
      <c r="L21" s="21"/>
      <c r="N21" s="21"/>
      <c r="T21" s="21"/>
      <c r="U21" s="21"/>
      <c r="V21" s="21"/>
      <c r="W21" s="21"/>
      <c r="X21" s="21"/>
      <c r="Y21" s="21"/>
      <c r="Z21" s="21"/>
    </row>
    <row r="22" spans="1:27" ht="15" thickBot="1" x14ac:dyDescent="0.4">
      <c r="A22" s="47" t="s">
        <v>19</v>
      </c>
      <c r="G22" s="47"/>
      <c r="H22" s="47"/>
      <c r="I22" s="47"/>
      <c r="J22" s="119"/>
      <c r="K22" s="47"/>
      <c r="T22" s="21"/>
      <c r="U22" s="21"/>
      <c r="V22" s="21"/>
      <c r="W22" s="21"/>
      <c r="X22" s="21"/>
      <c r="Y22" s="21"/>
      <c r="Z22" s="21"/>
    </row>
    <row r="23" spans="1:27" ht="15" thickBot="1" x14ac:dyDescent="0.4">
      <c r="B23" s="28" t="s">
        <v>1</v>
      </c>
      <c r="C23" s="103" t="s">
        <v>94</v>
      </c>
      <c r="D23" s="28" t="s">
        <v>9</v>
      </c>
      <c r="E23" s="36" t="s">
        <v>10</v>
      </c>
      <c r="F23" s="36" t="s">
        <v>13</v>
      </c>
      <c r="G23" s="28" t="s">
        <v>11</v>
      </c>
      <c r="H23" s="47"/>
      <c r="I23" s="47"/>
      <c r="J23" s="119"/>
      <c r="K23" s="47"/>
      <c r="T23" s="21"/>
      <c r="U23" s="21"/>
      <c r="V23" s="21"/>
      <c r="W23" s="21"/>
      <c r="X23" s="21"/>
      <c r="Y23" s="21"/>
      <c r="Z23" s="21"/>
    </row>
    <row r="24" spans="1:27" ht="15" thickBot="1" x14ac:dyDescent="0.4">
      <c r="A24" s="28" t="s">
        <v>96</v>
      </c>
      <c r="B24" s="8">
        <v>125</v>
      </c>
      <c r="C24" s="109">
        <v>2</v>
      </c>
      <c r="D24" s="10"/>
      <c r="E24" s="3" t="str">
        <f>IF(D24=0,L11,MROUND((G24/(D24/1000)*1000),25))</f>
        <v>-</v>
      </c>
      <c r="F24" s="4">
        <f>IF(B24=0,L11,MROUND((SQRT(G24)*1000),25))</f>
        <v>300</v>
      </c>
      <c r="G24" s="6">
        <f>IF(B24=0,L11,((B24/1000)/C24)*1.5)</f>
        <v>9.375E-2</v>
      </c>
      <c r="H24" s="47"/>
      <c r="I24" s="47"/>
      <c r="J24" s="118" t="str">
        <f>IF(C24&gt;2.5, "Face Velocity exceeds manufacturer recommendation","")</f>
        <v/>
      </c>
      <c r="K24" s="47"/>
      <c r="L24" s="21"/>
      <c r="N24" s="21"/>
      <c r="T24" s="21"/>
      <c r="U24" s="21"/>
      <c r="V24" s="21"/>
      <c r="W24" s="21"/>
      <c r="X24" s="21"/>
      <c r="Y24" s="21"/>
      <c r="Z24" s="21"/>
    </row>
    <row r="25" spans="1:27" ht="15" thickBot="1" x14ac:dyDescent="0.4">
      <c r="A25" s="47" t="s">
        <v>19</v>
      </c>
      <c r="J25" s="118"/>
      <c r="T25" s="21"/>
      <c r="U25" s="21"/>
      <c r="V25" s="21"/>
      <c r="W25" s="21"/>
      <c r="X25" s="21"/>
      <c r="Y25" s="21"/>
      <c r="Z25" s="21"/>
    </row>
    <row r="26" spans="1:27" ht="15" thickBot="1" x14ac:dyDescent="0.4">
      <c r="B26" s="28" t="s">
        <v>1</v>
      </c>
      <c r="C26" s="36" t="s">
        <v>23</v>
      </c>
      <c r="D26" s="36" t="s">
        <v>26</v>
      </c>
      <c r="E26" s="47"/>
      <c r="F26" s="21"/>
      <c r="G26" s="47"/>
      <c r="H26" s="47"/>
      <c r="I26" s="47"/>
      <c r="J26" s="119"/>
      <c r="K26" s="47"/>
      <c r="L26" s="49" t="s">
        <v>22</v>
      </c>
      <c r="M26" s="50"/>
      <c r="T26" s="21"/>
      <c r="U26" s="21"/>
      <c r="V26" s="21"/>
      <c r="W26" s="21"/>
      <c r="X26" s="21"/>
      <c r="Y26" s="21"/>
      <c r="Z26" s="21"/>
    </row>
    <row r="27" spans="1:27" ht="15" thickBot="1" x14ac:dyDescent="0.4">
      <c r="A27" s="28" t="s">
        <v>20</v>
      </c>
      <c r="B27" s="8"/>
      <c r="C27" s="3" t="str">
        <f>IF(B27=0,L11,IF(B27&lt;170,L27,M27))</f>
        <v>-</v>
      </c>
      <c r="D27" s="1" t="str">
        <f>IF(C27=L27,IF(B27&gt;125,0,IF(B27&gt;95,1,IF(B27&gt;80,2,IF(B27&gt;65,3,IF(B27&gt;50,4,IF(B27&gt;40,5,5)))))),IF(B27&gt;300,0,IF(B27&gt;255,1,IF(B27&gt;200,2,IF(B27&gt;169,3,L11)))))</f>
        <v>-</v>
      </c>
      <c r="E27" s="5"/>
      <c r="F27" s="12"/>
      <c r="G27" s="47"/>
      <c r="H27" s="47"/>
      <c r="I27" s="47"/>
      <c r="J27" s="119"/>
      <c r="K27" s="47"/>
      <c r="L27" s="42" t="s">
        <v>25</v>
      </c>
      <c r="M27" s="44" t="s">
        <v>24</v>
      </c>
      <c r="N27" s="21"/>
    </row>
    <row r="28" spans="1:27" ht="15" thickBot="1" x14ac:dyDescent="0.4">
      <c r="A28" s="47" t="s">
        <v>21</v>
      </c>
      <c r="J28" s="118"/>
    </row>
    <row r="29" spans="1:27" ht="15" thickBot="1" x14ac:dyDescent="0.4">
      <c r="B29" s="52" t="s">
        <v>1</v>
      </c>
      <c r="C29" s="52" t="s">
        <v>28</v>
      </c>
      <c r="D29" s="103" t="s">
        <v>94</v>
      </c>
      <c r="E29" s="53" t="s">
        <v>9</v>
      </c>
      <c r="F29" s="52" t="s">
        <v>10</v>
      </c>
      <c r="G29" s="53" t="s">
        <v>13</v>
      </c>
      <c r="H29" s="52" t="s">
        <v>11</v>
      </c>
      <c r="I29" s="21"/>
      <c r="J29" s="119"/>
      <c r="K29" s="47"/>
      <c r="L29" s="49" t="s">
        <v>29</v>
      </c>
      <c r="M29" s="46"/>
      <c r="N29" s="50"/>
    </row>
    <row r="30" spans="1:27" ht="15" thickBot="1" x14ac:dyDescent="0.4">
      <c r="A30" s="27" t="s">
        <v>27</v>
      </c>
      <c r="B30" s="8"/>
      <c r="C30" s="13"/>
      <c r="D30" s="109"/>
      <c r="E30" s="14"/>
      <c r="F30" s="15" t="str">
        <f>IF(E30=0,L11,MROUND((H30/(E30/1000)*1000),25))</f>
        <v>-</v>
      </c>
      <c r="G30" s="3" t="str">
        <f>IF(C30=0,L11,MROUND((SQRT(H30)*1000),25))</f>
        <v>-</v>
      </c>
      <c r="H30" s="6" t="str">
        <f>IF(C30=0,L11,(100/(C30*100))*((B30/1000)/D30))</f>
        <v>-</v>
      </c>
      <c r="I30" s="12"/>
      <c r="J30" s="118" t="str">
        <f>IF(D30&gt;2.5, "Face Velocity exceeds manufacturer recommendation","")</f>
        <v/>
      </c>
      <c r="K30" s="47"/>
      <c r="L30" s="42"/>
      <c r="M30" s="54">
        <v>0.51</v>
      </c>
      <c r="N30" s="55">
        <v>0.62</v>
      </c>
      <c r="P30" s="21"/>
    </row>
    <row r="31" spans="1:27" x14ac:dyDescent="0.35">
      <c r="A31" s="47" t="s">
        <v>19</v>
      </c>
      <c r="J31" s="120"/>
    </row>
    <row r="32" spans="1:27" x14ac:dyDescent="0.35">
      <c r="A32" s="20" t="s">
        <v>98</v>
      </c>
    </row>
  </sheetData>
  <sheetProtection algorithmName="SHA-512" hashValue="Cc9XqKAbZw20mC+b5CYXCCVjzuX10D5lwkReuw2XN9kpOodX0ZwVV2oQcrcgr/OTaWrpXY+GW50D4Zg7NoN+Mg==" saltValue="DLBNur96fgrVAO62bvV8kg==" spinCount="100000" sheet="1"/>
  <mergeCells count="1">
    <mergeCell ref="A1:F2"/>
  </mergeCells>
  <dataValidations disablePrompts="1" count="4">
    <dataValidation type="list" allowBlank="1" showInputMessage="1" showErrorMessage="1" sqref="C30" xr:uid="{00000000-0002-0000-0000-000000000000}">
      <formula1>$L$30:$N$30</formula1>
    </dataValidation>
    <dataValidation type="list" allowBlank="1" showInputMessage="1" showErrorMessage="1" sqref="E5" xr:uid="{00000000-0002-0000-0000-000001000000}">
      <formula1>$T$3:$T$8</formula1>
    </dataValidation>
    <dataValidation type="list" allowBlank="1" showInputMessage="1" showErrorMessage="1" sqref="C8" xr:uid="{00000000-0002-0000-0000-000002000000}">
      <formula1>$L$8:$N$8</formula1>
    </dataValidation>
    <dataValidation type="list" allowBlank="1" showInputMessage="1" showErrorMessage="1" sqref="D30 C15 C18 C21 C24" xr:uid="{00000000-0002-0000-0000-000003000000}">
      <formula1>$L$15:$BJ$15</formula1>
    </dataValidation>
  </dataValidations>
  <pageMargins left="0.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Blad1"/>
  <dimension ref="B1:BZ235"/>
  <sheetViews>
    <sheetView tabSelected="1" workbookViewId="0">
      <pane ySplit="13" topLeftCell="A14" activePane="bottomLeft" state="frozen"/>
      <selection pane="bottomLeft" activeCell="G18" sqref="G18"/>
    </sheetView>
  </sheetViews>
  <sheetFormatPr defaultColWidth="9.1796875" defaultRowHeight="12.5" x14ac:dyDescent="0.25"/>
  <cols>
    <col min="1" max="41" width="5.7265625" style="56" customWidth="1"/>
    <col min="42" max="16384" width="9.1796875" style="56"/>
  </cols>
  <sheetData>
    <row r="1" spans="2:43" x14ac:dyDescent="0.25">
      <c r="B1" s="144" t="s">
        <v>69</v>
      </c>
      <c r="C1" s="144"/>
      <c r="D1" s="144"/>
      <c r="E1" s="144"/>
    </row>
    <row r="2" spans="2:43" x14ac:dyDescent="0.25">
      <c r="B2" s="144"/>
      <c r="C2" s="144"/>
      <c r="D2" s="144"/>
      <c r="E2" s="144"/>
      <c r="F2" s="85"/>
      <c r="Q2" s="75"/>
    </row>
    <row r="3" spans="2:43" x14ac:dyDescent="0.25">
      <c r="D3" s="56" t="s">
        <v>97</v>
      </c>
      <c r="F3" s="124">
        <v>240</v>
      </c>
      <c r="G3" s="56" t="s">
        <v>65</v>
      </c>
      <c r="J3" s="56" t="s">
        <v>100</v>
      </c>
      <c r="L3" s="122" t="str">
        <f ca="1">IF(ISNUMBER(SEARCH("$14",C74)),B14,IF(ISNUMBER(SEARCH("$15",C74)),B15,IF(ISNUMBER(SEARCH("$16",C74)),B16,IF(ISNUMBER(SEARCH("$17",C74)),B17,IF(ISNUMBER(SEARCH("$18",C74)),B18,IF(ISNUMBER(SEARCH("$19",C74)),B19,IF(ISNUMBER(SEARCH("$20",C74)),B20,IF(ISNUMBER(SEARCH("$21",C74)),B21,IF(ISNUMBER(SEARCH("$22",C74)),B22,IF(ISNUMBER(SEARCH("$23",C74)),B23,IF(ISNUMBER(SEARCH("$24",C74)),B24,IF(ISNUMBER(SEARCH("$25",C74)),B25,IF(ISNUMBER(SEARCH("$26",C74)),B26,IF(ISNUMBER(SEARCH("$27",C74)),B27,IF(ISNUMBER(SEARCH("$28",C74)),B28,IF(ISNUMBER(SEARCH("$29",C74)),B29,IF(ISNUMBER(SEARCH("$30",C74)),B30,IF(ISNUMBER(SEARCH("$31",C74)),B31,IF(ISNUMBER(SEARCH("$32",C74)),B32,IF(ISNUMBER(SEARCH("$33",C74)),B33,IF(ISNUMBER(SEARCH("$34",C74)),B34,IF(ISNUMBER(SEARCH("$35",C74)),B35,IF(ISNUMBER(SEARCH("$36",C74)),B36,IF(ISNUMBER(SEARCH("$37",C74)),B37,IF(ISNUMBER(SEARCH("$38",C74)),B38,IF(ISNUMBER(SEARCH("$39",C74)),B39,IF(ISNUMBER(SEARCH("$40",C74)),B40,IF(ISNUMBER(SEARCH("$41",C74)),B41,IF(ISNUMBER(SEARCH("$42",C74)),B42,IF(ISNUMBER(SEARCH("$43",C74)),B43,IF(ISNUMBER(SEARCH("$44",C74)),B44,IF(ISNUMBER(SEARCH("$45",C74)),B45,IF(ISNUMBER(SEARCH("$46",C74)),B46,IF(ISNUMBER(SEARCH("$47",C74)),B47,IF(ISNUMBER(SEARCH("$48",C74)),B48,IF(ISNUMBER(SEARCH("$49",C74)),B49,IF(ISNUMBER(SEARCH("$50",C74)),B50,IF(ISNUMBER(SEARCH("$51",C74)),B51,IF(ISNUMBER(SEARCH("$52",C74)),B52,IF(ISNUMBER(SEARCH("$53",C74)),B53,IF(ISNUMBER(SEARCH("$54",C74)),B54,IF(ISNUMBER(SEARCH("$55",C74)),B55,IF(ISNUMBER(SEARCH("$56",C74)),B56,IF(ISNUMBER(SEARCH("$57",C74)),B57,IF(ISNUMBER(SEARCH("$58",C74)),B58,IF(ISNUMBER(SEARCH("$59",C74)),B59,IF(ISNUMBER(SEARCH("$60",C74)),B60,IF(ISNUMBER(SEARCH("$61",C74)),B61,IF(ISNUMBER(SEARCH("$62",C74)),B62,IF(ISNUMBER(SEARCH("$63",C74)),B63,IF(ISNUMBER(SEARCH("$64",C74)),B64,IF(ISNUMBER(SEARCH("$65",C74)),B65,IF(ISNUMBER(SEARCH("$66",C74)),B66,IF(ISNUMBER(SEARCH("$67",C74)),B67,IF(ISNUMBER(SEARCH("$68",C74)),B68,IF(ISNUMBER(SEARCH("$69",C74)),B69,IF(ISNUMBER(SEARCH("$70",C74)),B70,IF(ISNUMBER(SEARCH("$71",C74)),B71,IF(ISNUMBER(SEARCH("$72",C74)),B72,"")))))))))))))))))))))))))))))))))))))))))))))))))))))))))))</f>
        <v/>
      </c>
      <c r="Q3" s="101"/>
      <c r="U3" s="77" t="s">
        <v>101</v>
      </c>
    </row>
    <row r="4" spans="2:43" x14ac:dyDescent="0.25">
      <c r="D4" s="56" t="s">
        <v>102</v>
      </c>
      <c r="F4" s="142">
        <f ca="1">INDIRECT(CELL("ADDRESS"))</f>
        <v>240</v>
      </c>
      <c r="G4" s="56" t="s">
        <v>67</v>
      </c>
      <c r="J4" s="56" t="s">
        <v>99</v>
      </c>
      <c r="L4" s="122">
        <f ca="1">IF(ISNUMBER(SEARCH("$C",C74)),C13,IF(ISNUMBER(SEARCH("$D",C74)),D13,IF(ISNUMBER(SEARCH("$E",C74)),E13,IF(ISNUMBER(SEARCH("$F",C74)),F13,IF(ISNUMBER(SEARCH("$G",C74)),G13,IF(ISNUMBER(SEARCH("$H",C74)),H13,IF(ISNUMBER(SEARCH("$I",C74)),I13,IF(ISNUMBER(SEARCH("$J",C74)),J13,IF(ISNUMBER(SEARCH("$K",C74)),K13,IF(ISNUMBER(SEARCH("$L",C74)),L13,IF(ISNUMBER(SEARCH("$M",C74)),M13,IF(ISNUMBER(SEARCH("$N",C74)),N13,IF(ISNUMBER(SEARCH("$O",C74)),O13,IF(ISNUMBER(SEARCH("$P",C74)),P13,IF(ISNUMBER(SEARCH("$Q",C74)),Q13,IF(ISNUMBER(SEARCH("$R",C74)),R13,IF(ISNUMBER(SEARCH("$S",C74)),S13,IF(ISNUMBER(SEARCH("$T",C74)),T13,IF(ISNUMBER(SEARCH("$U",C74)),U13,IF(ISNUMBER(SEARCH("$V",C74)),V13,IF(ISNUMBER(SEARCH("$W",C74)),W13,IF(ISNUMBER(SEARCH("$X",C74)),X13,IF(ISNUMBER(SEARCH("$Y",C74)),Y13,IF(ISNUMBER(SEARCH("$Z",C74)),Z13,IF(ISNUMBER(SEARCH("$AA",C74)),AA13,IF(ISNUMBER(SEARCH("$AB",C74)),AB13,IF(ISNUMBER(SEARCH("$AC",C74)),AC13,IF(ISNUMBER(SEARCH("$AD",C74)),AD13,IF(ISNUMBER(SEARCH("$AE",C74)),AE13,IF(ISNUMBER(SEARCH("$AF",C74)),AF13,IF(ISNUMBER(SEARCH("$AG",C74)),AG13,IF(ISNUMBER(SEARCH("$AH",C74)),AH13,IF(ISNUMBER(SEARCH("$AI",C74)),AI13,IF(ISNUMBER(SEARCH("$AJ",C74)),AJ13,IF(ISNUMBER(SEARCH("$AK",C74)),AK13,IF(ISNUMBER(SEARCH("$AL",C74)),AL13,IF(ISNUMBER(SEARCH("$AM",C74)),AM13,IF(ISNUMBER(SEARCH("$AN",C74)),AN13,IF(ISNUMBER(SEARCH("$AO",C74)),AO13,"")))))))))))))))))))))))))))))))))))))))</f>
        <v>250</v>
      </c>
      <c r="Q4" s="101"/>
      <c r="U4" s="77"/>
      <c r="AQ4" s="101"/>
    </row>
    <row r="5" spans="2:43" ht="13" x14ac:dyDescent="0.3">
      <c r="D5" s="56" t="s">
        <v>66</v>
      </c>
      <c r="F5" s="64">
        <f>F3*3.6</f>
        <v>864</v>
      </c>
      <c r="G5" s="56" t="s">
        <v>68</v>
      </c>
      <c r="J5" s="56" t="s">
        <v>64</v>
      </c>
      <c r="L5" s="123" t="e">
        <f ca="1">INDEX(D81:BZ235,G74,F74)*1.03</f>
        <v>#VALUE!</v>
      </c>
      <c r="M5" s="121" t="s">
        <v>105</v>
      </c>
      <c r="Q5" s="101"/>
      <c r="T5" s="77" t="s">
        <v>63</v>
      </c>
      <c r="U5" s="76"/>
    </row>
    <row r="6" spans="2:43" x14ac:dyDescent="0.25">
      <c r="T6" s="77" t="s">
        <v>61</v>
      </c>
      <c r="U6" s="84"/>
    </row>
    <row r="7" spans="2:43" ht="13" x14ac:dyDescent="0.3">
      <c r="B7" s="74" t="s">
        <v>62</v>
      </c>
      <c r="T7" s="77" t="s">
        <v>60</v>
      </c>
      <c r="U7" s="81"/>
    </row>
    <row r="8" spans="2:43" ht="13" thickBot="1" x14ac:dyDescent="0.3">
      <c r="B8" s="82">
        <v>80</v>
      </c>
      <c r="C8" s="83">
        <v>90</v>
      </c>
      <c r="D8" s="82">
        <v>100</v>
      </c>
      <c r="E8" s="83">
        <v>112</v>
      </c>
      <c r="F8" s="82">
        <v>125</v>
      </c>
      <c r="G8" s="83">
        <v>150</v>
      </c>
      <c r="H8" s="82">
        <v>160</v>
      </c>
      <c r="I8" s="83">
        <v>180</v>
      </c>
      <c r="J8" s="82">
        <v>200</v>
      </c>
      <c r="K8" s="83">
        <v>225</v>
      </c>
      <c r="L8" s="82">
        <v>250</v>
      </c>
      <c r="M8" s="83">
        <v>280</v>
      </c>
      <c r="N8" s="82">
        <v>315</v>
      </c>
      <c r="O8" s="82">
        <v>400</v>
      </c>
      <c r="P8" s="82">
        <v>500</v>
      </c>
      <c r="T8" s="77" t="s">
        <v>59</v>
      </c>
      <c r="U8" s="79"/>
      <c r="Z8" s="110"/>
    </row>
    <row r="9" spans="2:43" x14ac:dyDescent="0.25">
      <c r="B9" s="80">
        <f t="shared" ref="B9:P9" si="0">$F$5/(900*PI()*(B8/1000)^2)</f>
        <v>47.7464829275686</v>
      </c>
      <c r="C9" s="80">
        <f t="shared" si="0"/>
        <v>37.725616140301121</v>
      </c>
      <c r="D9" s="80">
        <f t="shared" si="0"/>
        <v>30.557749073643901</v>
      </c>
      <c r="E9" s="80">
        <f t="shared" si="0"/>
        <v>24.360450473249283</v>
      </c>
      <c r="F9" s="80">
        <f t="shared" si="0"/>
        <v>19.556959407132101</v>
      </c>
      <c r="G9" s="80">
        <f t="shared" si="0"/>
        <v>13.581221810508403</v>
      </c>
      <c r="H9" s="80">
        <f t="shared" si="0"/>
        <v>11.93662073189215</v>
      </c>
      <c r="I9" s="80">
        <f t="shared" si="0"/>
        <v>9.4314040350752801</v>
      </c>
      <c r="J9" s="80">
        <f t="shared" si="0"/>
        <v>7.6394372684109753</v>
      </c>
      <c r="K9" s="80">
        <f t="shared" si="0"/>
        <v>6.0360985824481785</v>
      </c>
      <c r="L9" s="80">
        <f t="shared" si="0"/>
        <v>4.8892398517830253</v>
      </c>
      <c r="M9" s="80">
        <f t="shared" si="0"/>
        <v>3.8976720757198855</v>
      </c>
      <c r="N9" s="80">
        <f t="shared" si="0"/>
        <v>3.0796421339021318</v>
      </c>
      <c r="O9" s="80">
        <f t="shared" si="0"/>
        <v>1.9098593171027438</v>
      </c>
      <c r="P9" s="80">
        <f t="shared" si="0"/>
        <v>1.2223099629457563</v>
      </c>
      <c r="T9" s="77" t="s">
        <v>58</v>
      </c>
      <c r="U9" s="143"/>
    </row>
    <row r="10" spans="2:43" ht="13" x14ac:dyDescent="0.3">
      <c r="B10" s="78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</row>
    <row r="11" spans="2:43" x14ac:dyDescent="0.25"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</row>
    <row r="12" spans="2:43" ht="13" x14ac:dyDescent="0.3">
      <c r="B12" s="74" t="s">
        <v>57</v>
      </c>
    </row>
    <row r="13" spans="2:43" ht="13" thickBot="1" x14ac:dyDescent="0.3">
      <c r="B13" s="73" t="s">
        <v>106</v>
      </c>
      <c r="C13" s="72">
        <v>100</v>
      </c>
      <c r="D13" s="71">
        <v>150</v>
      </c>
      <c r="E13" s="71">
        <v>200</v>
      </c>
      <c r="F13" s="71">
        <v>250</v>
      </c>
      <c r="G13" s="71">
        <v>300</v>
      </c>
      <c r="H13" s="71">
        <v>350</v>
      </c>
      <c r="I13" s="71">
        <v>400</v>
      </c>
      <c r="J13" s="71">
        <v>450</v>
      </c>
      <c r="K13" s="71">
        <v>500</v>
      </c>
      <c r="L13" s="71">
        <v>550</v>
      </c>
      <c r="M13" s="71">
        <v>600</v>
      </c>
      <c r="N13" s="71">
        <v>650</v>
      </c>
      <c r="O13" s="71">
        <v>700</v>
      </c>
      <c r="P13" s="71">
        <v>750</v>
      </c>
      <c r="Q13" s="71">
        <v>800</v>
      </c>
      <c r="R13" s="71">
        <v>850</v>
      </c>
      <c r="S13" s="71">
        <v>900</v>
      </c>
      <c r="T13" s="71">
        <v>950</v>
      </c>
      <c r="U13" s="71">
        <v>1000</v>
      </c>
      <c r="V13" s="70">
        <v>1050</v>
      </c>
      <c r="W13" s="70">
        <v>1100</v>
      </c>
      <c r="X13" s="70">
        <v>1150</v>
      </c>
      <c r="Y13" s="70">
        <v>1200</v>
      </c>
      <c r="Z13" s="70">
        <v>1250</v>
      </c>
      <c r="AA13" s="70">
        <v>1300</v>
      </c>
      <c r="AB13" s="70">
        <v>1350</v>
      </c>
      <c r="AC13" s="70">
        <v>1400</v>
      </c>
      <c r="AD13" s="70">
        <v>1450</v>
      </c>
      <c r="AE13" s="70">
        <v>1500</v>
      </c>
      <c r="AF13" s="70">
        <v>1550</v>
      </c>
      <c r="AG13" s="70">
        <v>1600</v>
      </c>
      <c r="AH13" s="70">
        <v>1650</v>
      </c>
      <c r="AI13" s="70">
        <v>1700</v>
      </c>
      <c r="AJ13" s="70">
        <v>1750</v>
      </c>
      <c r="AK13" s="70">
        <v>1800</v>
      </c>
      <c r="AL13" s="70">
        <v>1850</v>
      </c>
      <c r="AM13" s="70">
        <v>1900</v>
      </c>
      <c r="AN13" s="70">
        <v>1950</v>
      </c>
      <c r="AO13" s="70">
        <v>2000</v>
      </c>
    </row>
    <row r="14" spans="2:43" x14ac:dyDescent="0.25">
      <c r="B14" s="69">
        <v>100</v>
      </c>
      <c r="C14" s="68">
        <f>$F$5/(3600*(C13/1000)*(B14/1000))</f>
        <v>24</v>
      </c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6"/>
      <c r="R14" s="66"/>
      <c r="S14" s="66"/>
      <c r="T14" s="65"/>
      <c r="U14" s="65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</row>
    <row r="15" spans="2:43" x14ac:dyDescent="0.25">
      <c r="B15" s="58">
        <v>150</v>
      </c>
      <c r="C15" s="57">
        <f>$F$5/(3600*(C13/1000)*($B$15/1000))</f>
        <v>16</v>
      </c>
      <c r="D15" s="57">
        <f>$F$5/(3600*(D13/1000)*($B$15/1000))</f>
        <v>10.666666666666666</v>
      </c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</row>
    <row r="16" spans="2:43" x14ac:dyDescent="0.25">
      <c r="B16" s="58">
        <v>200</v>
      </c>
      <c r="C16" s="57">
        <f>$F$5/(3600*(C13/1000)*($B$16/1000))</f>
        <v>12</v>
      </c>
      <c r="D16" s="57">
        <f>$F$5/(3600*(D13/1000)*($B$16/1000))</f>
        <v>8</v>
      </c>
      <c r="E16" s="57">
        <f>$F$5/(3600*(E13/1000)*($B$16/1000))</f>
        <v>6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</row>
    <row r="17" spans="2:41" x14ac:dyDescent="0.25">
      <c r="B17" s="58">
        <v>250</v>
      </c>
      <c r="C17" s="57">
        <f>$F$5/(3600*(C13/1000)*($B$17/1000))</f>
        <v>9.6</v>
      </c>
      <c r="D17" s="57">
        <f>$F$5/(3600*(D13/1000)*($B$17/1000))</f>
        <v>6.4</v>
      </c>
      <c r="E17" s="57">
        <f>$F$5/(3600*(E13/1000)*($B$17/1000))</f>
        <v>4.8</v>
      </c>
      <c r="F17" s="57">
        <f>$F$5/(3600*(F13/1000)*($B$17/1000))</f>
        <v>3.84</v>
      </c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</row>
    <row r="18" spans="2:41" x14ac:dyDescent="0.25">
      <c r="B18" s="58">
        <v>300</v>
      </c>
      <c r="C18" s="57">
        <f>$F$5/(3600*(C13/1000)*($B$18/1000))</f>
        <v>8</v>
      </c>
      <c r="D18" s="57">
        <f>$F$5/(3600*(D13/1000)*($B$18/1000))</f>
        <v>5.333333333333333</v>
      </c>
      <c r="E18" s="57">
        <f>$F$5/(3600*(E13/1000)*($B$18/1000))</f>
        <v>4</v>
      </c>
      <c r="F18" s="57">
        <f>$F$5/(3600*(F13/1000)*($B$18/1000))</f>
        <v>3.2</v>
      </c>
      <c r="G18" s="57">
        <f>$F$5/(3600*(G13/1000)*($B$18/1000))</f>
        <v>2.6666666666666665</v>
      </c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</row>
    <row r="19" spans="2:41" x14ac:dyDescent="0.25">
      <c r="B19" s="58">
        <v>350</v>
      </c>
      <c r="C19" s="57">
        <f t="shared" ref="C19:H19" si="1">$F$5/(3600*(C13/1000)*($B$19/1000))</f>
        <v>6.8571428571428577</v>
      </c>
      <c r="D19" s="57">
        <f t="shared" si="1"/>
        <v>4.5714285714285712</v>
      </c>
      <c r="E19" s="57">
        <f t="shared" si="1"/>
        <v>3.4285714285714288</v>
      </c>
      <c r="F19" s="57">
        <f t="shared" si="1"/>
        <v>2.7428571428571429</v>
      </c>
      <c r="G19" s="57">
        <f t="shared" si="1"/>
        <v>2.2857142857142856</v>
      </c>
      <c r="H19" s="57">
        <f t="shared" si="1"/>
        <v>1.9591836734693877</v>
      </c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</row>
    <row r="20" spans="2:41" x14ac:dyDescent="0.25">
      <c r="B20" s="58">
        <v>400</v>
      </c>
      <c r="C20" s="57">
        <f t="shared" ref="C20:H20" si="2">$F$5/(3600*(C13/1000)*($B$20/1000))</f>
        <v>6</v>
      </c>
      <c r="D20" s="57">
        <f t="shared" si="2"/>
        <v>4</v>
      </c>
      <c r="E20" s="57">
        <f t="shared" si="2"/>
        <v>3</v>
      </c>
      <c r="F20" s="57">
        <f t="shared" si="2"/>
        <v>2.4</v>
      </c>
      <c r="G20" s="57">
        <f t="shared" si="2"/>
        <v>2</v>
      </c>
      <c r="H20" s="57">
        <f t="shared" si="2"/>
        <v>1.7142857142857142</v>
      </c>
      <c r="I20" s="57">
        <f>$F$5/(3600*(I13/1000)*($B$20/1000))</f>
        <v>1.5</v>
      </c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</row>
    <row r="21" spans="2:41" x14ac:dyDescent="0.25">
      <c r="B21" s="58">
        <v>450</v>
      </c>
      <c r="C21" s="57">
        <f t="shared" ref="C21:J21" si="3">$F$5/(3600*(C13/1000)*($B$21/1000))</f>
        <v>5.333333333333333</v>
      </c>
      <c r="D21" s="57">
        <f t="shared" si="3"/>
        <v>3.5555555555555554</v>
      </c>
      <c r="E21" s="57">
        <f t="shared" si="3"/>
        <v>2.6666666666666665</v>
      </c>
      <c r="F21" s="57">
        <f t="shared" si="3"/>
        <v>2.1333333333333333</v>
      </c>
      <c r="G21" s="57">
        <f t="shared" si="3"/>
        <v>1.7777777777777777</v>
      </c>
      <c r="H21" s="57">
        <f t="shared" si="3"/>
        <v>1.5238095238095237</v>
      </c>
      <c r="I21" s="57">
        <f t="shared" si="3"/>
        <v>1.3333333333333333</v>
      </c>
      <c r="J21" s="57">
        <f t="shared" si="3"/>
        <v>1.1851851851851851</v>
      </c>
      <c r="K21" s="64"/>
      <c r="L21" s="64"/>
      <c r="M21" s="64"/>
      <c r="N21" s="64"/>
      <c r="O21" s="64"/>
      <c r="P21" s="64"/>
      <c r="Q21" s="64"/>
      <c r="R21" s="64"/>
      <c r="S21" s="64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</row>
    <row r="22" spans="2:41" x14ac:dyDescent="0.25">
      <c r="B22" s="58">
        <v>500</v>
      </c>
      <c r="C22" s="57">
        <f t="shared" ref="C22:K22" si="4">$F$5/(3600*(C13/1000)*($B$22/1000))</f>
        <v>4.8</v>
      </c>
      <c r="D22" s="57">
        <f t="shared" si="4"/>
        <v>3.2</v>
      </c>
      <c r="E22" s="57">
        <f t="shared" si="4"/>
        <v>2.4</v>
      </c>
      <c r="F22" s="57">
        <f t="shared" si="4"/>
        <v>1.92</v>
      </c>
      <c r="G22" s="57">
        <f t="shared" si="4"/>
        <v>1.6</v>
      </c>
      <c r="H22" s="57">
        <f t="shared" si="4"/>
        <v>1.3714285714285714</v>
      </c>
      <c r="I22" s="57">
        <f t="shared" si="4"/>
        <v>1.2</v>
      </c>
      <c r="J22" s="57">
        <f t="shared" si="4"/>
        <v>1.0666666666666667</v>
      </c>
      <c r="K22" s="57">
        <f t="shared" si="4"/>
        <v>0.96</v>
      </c>
      <c r="L22" s="64"/>
      <c r="M22" s="64"/>
      <c r="N22" s="64"/>
      <c r="O22" s="64"/>
      <c r="P22" s="64"/>
      <c r="Q22" s="64"/>
      <c r="R22" s="64"/>
      <c r="S22" s="64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</row>
    <row r="23" spans="2:41" x14ac:dyDescent="0.25">
      <c r="B23" s="58">
        <v>550</v>
      </c>
      <c r="C23" s="57">
        <f t="shared" ref="C23:L23" si="5">$F$5/(3600*(C13/1000)*($B$23/1000))</f>
        <v>4.3636363636363633</v>
      </c>
      <c r="D23" s="57">
        <f t="shared" si="5"/>
        <v>2.9090909090909092</v>
      </c>
      <c r="E23" s="57">
        <f t="shared" si="5"/>
        <v>2.1818181818181817</v>
      </c>
      <c r="F23" s="57">
        <f t="shared" si="5"/>
        <v>1.7454545454545451</v>
      </c>
      <c r="G23" s="57">
        <f t="shared" si="5"/>
        <v>1.4545454545454546</v>
      </c>
      <c r="H23" s="57">
        <f t="shared" si="5"/>
        <v>1.2467532467532467</v>
      </c>
      <c r="I23" s="57">
        <f t="shared" si="5"/>
        <v>1.0909090909090908</v>
      </c>
      <c r="J23" s="57">
        <f t="shared" si="5"/>
        <v>0.96969696969696961</v>
      </c>
      <c r="K23" s="57">
        <f t="shared" si="5"/>
        <v>0.87272727272727257</v>
      </c>
      <c r="L23" s="57">
        <f t="shared" si="5"/>
        <v>0.79338842975206592</v>
      </c>
      <c r="M23" s="64"/>
      <c r="N23" s="64"/>
      <c r="O23" s="64"/>
      <c r="P23" s="64"/>
      <c r="Q23" s="64"/>
      <c r="R23" s="64"/>
      <c r="S23" s="64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</row>
    <row r="24" spans="2:41" x14ac:dyDescent="0.25">
      <c r="B24" s="58">
        <v>600</v>
      </c>
      <c r="C24" s="57">
        <f t="shared" ref="C24:M24" si="6">$F$5/(3600*(C13/1000)*($B$24/1000))</f>
        <v>4</v>
      </c>
      <c r="D24" s="57">
        <f t="shared" si="6"/>
        <v>2.6666666666666665</v>
      </c>
      <c r="E24" s="57">
        <f t="shared" si="6"/>
        <v>2</v>
      </c>
      <c r="F24" s="57">
        <f t="shared" si="6"/>
        <v>1.6</v>
      </c>
      <c r="G24" s="57">
        <f t="shared" si="6"/>
        <v>1.3333333333333333</v>
      </c>
      <c r="H24" s="57">
        <f t="shared" si="6"/>
        <v>1.1428571428571428</v>
      </c>
      <c r="I24" s="57">
        <f t="shared" si="6"/>
        <v>1</v>
      </c>
      <c r="J24" s="57">
        <f t="shared" si="6"/>
        <v>0.88888888888888884</v>
      </c>
      <c r="K24" s="57">
        <f t="shared" si="6"/>
        <v>0.8</v>
      </c>
      <c r="L24" s="57">
        <f t="shared" si="6"/>
        <v>0.72727272727272729</v>
      </c>
      <c r="M24" s="57">
        <f t="shared" si="6"/>
        <v>0.66666666666666663</v>
      </c>
      <c r="N24" s="64"/>
      <c r="O24" s="64"/>
      <c r="P24" s="64"/>
      <c r="Q24" s="64"/>
      <c r="R24" s="64"/>
      <c r="S24" s="64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</row>
    <row r="25" spans="2:41" x14ac:dyDescent="0.25">
      <c r="B25" s="58">
        <v>650</v>
      </c>
      <c r="C25" s="57">
        <f t="shared" ref="C25:N25" si="7">$F$5/(3600*(C13/1000)*($B$25/1000))</f>
        <v>3.6923076923076925</v>
      </c>
      <c r="D25" s="57">
        <f t="shared" si="7"/>
        <v>2.4615384615384617</v>
      </c>
      <c r="E25" s="57">
        <f t="shared" si="7"/>
        <v>1.8461538461538463</v>
      </c>
      <c r="F25" s="57">
        <f t="shared" si="7"/>
        <v>1.476923076923077</v>
      </c>
      <c r="G25" s="57">
        <f t="shared" si="7"/>
        <v>1.2307692307692308</v>
      </c>
      <c r="H25" s="57">
        <f t="shared" si="7"/>
        <v>1.054945054945055</v>
      </c>
      <c r="I25" s="57">
        <f t="shared" si="7"/>
        <v>0.92307692307692313</v>
      </c>
      <c r="J25" s="57">
        <f t="shared" si="7"/>
        <v>0.82051282051282048</v>
      </c>
      <c r="K25" s="57">
        <f t="shared" si="7"/>
        <v>0.7384615384615385</v>
      </c>
      <c r="L25" s="57">
        <f t="shared" si="7"/>
        <v>0.67132867132867124</v>
      </c>
      <c r="M25" s="57">
        <f t="shared" si="7"/>
        <v>0.61538461538461542</v>
      </c>
      <c r="N25" s="57">
        <f t="shared" si="7"/>
        <v>0.56804733727810652</v>
      </c>
      <c r="O25" s="64"/>
      <c r="P25" s="64"/>
      <c r="Q25" s="64"/>
      <c r="R25" s="64"/>
      <c r="S25" s="64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</row>
    <row r="26" spans="2:41" x14ac:dyDescent="0.25">
      <c r="B26" s="58">
        <v>700</v>
      </c>
      <c r="C26" s="57">
        <f t="shared" ref="C26:O26" si="8">$F$5/(3600*(C13/1000)*($B$26/1000))</f>
        <v>3.4285714285714288</v>
      </c>
      <c r="D26" s="57">
        <f t="shared" si="8"/>
        <v>2.2857142857142856</v>
      </c>
      <c r="E26" s="57">
        <f t="shared" si="8"/>
        <v>1.7142857142857144</v>
      </c>
      <c r="F26" s="57">
        <f t="shared" si="8"/>
        <v>1.3714285714285714</v>
      </c>
      <c r="G26" s="57">
        <f t="shared" si="8"/>
        <v>1.1428571428571428</v>
      </c>
      <c r="H26" s="57">
        <f t="shared" si="8"/>
        <v>0.97959183673469385</v>
      </c>
      <c r="I26" s="57">
        <f t="shared" si="8"/>
        <v>0.85714285714285721</v>
      </c>
      <c r="J26" s="57">
        <f t="shared" si="8"/>
        <v>0.76190476190476186</v>
      </c>
      <c r="K26" s="57">
        <f t="shared" si="8"/>
        <v>0.68571428571428572</v>
      </c>
      <c r="L26" s="57">
        <f t="shared" si="8"/>
        <v>0.62337662337662336</v>
      </c>
      <c r="M26" s="57">
        <f t="shared" si="8"/>
        <v>0.5714285714285714</v>
      </c>
      <c r="N26" s="57">
        <f t="shared" si="8"/>
        <v>0.52747252747252749</v>
      </c>
      <c r="O26" s="57">
        <f t="shared" si="8"/>
        <v>0.48979591836734693</v>
      </c>
      <c r="P26" s="64"/>
      <c r="Q26" s="64"/>
      <c r="R26" s="64"/>
      <c r="S26" s="64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</row>
    <row r="27" spans="2:41" x14ac:dyDescent="0.25">
      <c r="B27" s="58">
        <v>750</v>
      </c>
      <c r="C27" s="57">
        <f t="shared" ref="C27:P27" si="9">$F$5/(3600*(C13/1000)*($B$27/1000))</f>
        <v>3.2</v>
      </c>
      <c r="D27" s="57">
        <f t="shared" si="9"/>
        <v>2.1333333333333333</v>
      </c>
      <c r="E27" s="57">
        <f t="shared" si="9"/>
        <v>1.6</v>
      </c>
      <c r="F27" s="57">
        <f t="shared" si="9"/>
        <v>1.28</v>
      </c>
      <c r="G27" s="57">
        <f t="shared" si="9"/>
        <v>1.0666666666666667</v>
      </c>
      <c r="H27" s="57">
        <f t="shared" si="9"/>
        <v>0.91428571428571426</v>
      </c>
      <c r="I27" s="57">
        <f t="shared" si="9"/>
        <v>0.8</v>
      </c>
      <c r="J27" s="57">
        <f t="shared" si="9"/>
        <v>0.71111111111111114</v>
      </c>
      <c r="K27" s="57">
        <f t="shared" si="9"/>
        <v>0.64</v>
      </c>
      <c r="L27" s="57">
        <f t="shared" si="9"/>
        <v>0.58181818181818168</v>
      </c>
      <c r="M27" s="57">
        <f t="shared" si="9"/>
        <v>0.53333333333333333</v>
      </c>
      <c r="N27" s="57">
        <f t="shared" si="9"/>
        <v>0.49230769230769234</v>
      </c>
      <c r="O27" s="57">
        <f t="shared" si="9"/>
        <v>0.45714285714285713</v>
      </c>
      <c r="P27" s="57">
        <f t="shared" si="9"/>
        <v>0.42666666666666669</v>
      </c>
      <c r="Q27" s="64"/>
      <c r="R27" s="64"/>
      <c r="S27" s="64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</row>
    <row r="28" spans="2:41" x14ac:dyDescent="0.25">
      <c r="B28" s="58">
        <v>800</v>
      </c>
      <c r="C28" s="57">
        <f t="shared" ref="C28:Q28" si="10">$F$5/(3600*(C13/1000)*($B$28/1000))</f>
        <v>3</v>
      </c>
      <c r="D28" s="57">
        <f t="shared" si="10"/>
        <v>2</v>
      </c>
      <c r="E28" s="57">
        <f t="shared" si="10"/>
        <v>1.5</v>
      </c>
      <c r="F28" s="57">
        <f t="shared" si="10"/>
        <v>1.2</v>
      </c>
      <c r="G28" s="57">
        <f t="shared" si="10"/>
        <v>1</v>
      </c>
      <c r="H28" s="57">
        <f t="shared" si="10"/>
        <v>0.8571428571428571</v>
      </c>
      <c r="I28" s="57">
        <f t="shared" si="10"/>
        <v>0.75</v>
      </c>
      <c r="J28" s="57">
        <f t="shared" si="10"/>
        <v>0.66666666666666663</v>
      </c>
      <c r="K28" s="57">
        <f t="shared" si="10"/>
        <v>0.6</v>
      </c>
      <c r="L28" s="57">
        <f t="shared" si="10"/>
        <v>0.54545454545454541</v>
      </c>
      <c r="M28" s="57">
        <f t="shared" si="10"/>
        <v>0.5</v>
      </c>
      <c r="N28" s="57">
        <f t="shared" si="10"/>
        <v>0.46153846153846156</v>
      </c>
      <c r="O28" s="57">
        <f t="shared" si="10"/>
        <v>0.42857142857142855</v>
      </c>
      <c r="P28" s="57">
        <f t="shared" si="10"/>
        <v>0.4</v>
      </c>
      <c r="Q28" s="57">
        <f t="shared" si="10"/>
        <v>0.375</v>
      </c>
      <c r="R28" s="64"/>
      <c r="S28" s="64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</row>
    <row r="29" spans="2:41" x14ac:dyDescent="0.25">
      <c r="B29" s="58">
        <v>850</v>
      </c>
      <c r="C29" s="57">
        <f t="shared" ref="C29:R29" si="11">$F$5/(3600*(C13/1000)*($B$29/1000))</f>
        <v>2.8235294117647061</v>
      </c>
      <c r="D29" s="57">
        <f t="shared" si="11"/>
        <v>1.8823529411764706</v>
      </c>
      <c r="E29" s="57">
        <f t="shared" si="11"/>
        <v>1.411764705882353</v>
      </c>
      <c r="F29" s="57">
        <f t="shared" si="11"/>
        <v>1.1294117647058823</v>
      </c>
      <c r="G29" s="57">
        <f t="shared" si="11"/>
        <v>0.94117647058823528</v>
      </c>
      <c r="H29" s="57">
        <f t="shared" si="11"/>
        <v>0.80672268907563027</v>
      </c>
      <c r="I29" s="57">
        <f t="shared" si="11"/>
        <v>0.70588235294117652</v>
      </c>
      <c r="J29" s="57">
        <f t="shared" si="11"/>
        <v>0.62745098039215685</v>
      </c>
      <c r="K29" s="57">
        <f t="shared" si="11"/>
        <v>0.56470588235294117</v>
      </c>
      <c r="L29" s="57">
        <f t="shared" si="11"/>
        <v>0.51336898395721919</v>
      </c>
      <c r="M29" s="57">
        <f t="shared" si="11"/>
        <v>0.47058823529411764</v>
      </c>
      <c r="N29" s="57">
        <f t="shared" si="11"/>
        <v>0.43438914027149322</v>
      </c>
      <c r="O29" s="57">
        <f t="shared" si="11"/>
        <v>0.40336134453781514</v>
      </c>
      <c r="P29" s="57">
        <f t="shared" si="11"/>
        <v>0.37647058823529411</v>
      </c>
      <c r="Q29" s="57">
        <f t="shared" si="11"/>
        <v>0.35294117647058826</v>
      </c>
      <c r="R29" s="57">
        <f t="shared" si="11"/>
        <v>0.33217993079584773</v>
      </c>
      <c r="S29" s="64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</row>
    <row r="30" spans="2:41" x14ac:dyDescent="0.25">
      <c r="B30" s="58">
        <v>900</v>
      </c>
      <c r="C30" s="57">
        <f t="shared" ref="C30:S30" si="12">$F$5/(3600*(C13/1000)*($B$30/1000))</f>
        <v>2.6666666666666665</v>
      </c>
      <c r="D30" s="57">
        <f t="shared" si="12"/>
        <v>1.7777777777777777</v>
      </c>
      <c r="E30" s="57">
        <f t="shared" si="12"/>
        <v>1.3333333333333333</v>
      </c>
      <c r="F30" s="57">
        <f t="shared" si="12"/>
        <v>1.0666666666666667</v>
      </c>
      <c r="G30" s="57">
        <f t="shared" si="12"/>
        <v>0.88888888888888884</v>
      </c>
      <c r="H30" s="57">
        <f t="shared" si="12"/>
        <v>0.76190476190476186</v>
      </c>
      <c r="I30" s="57">
        <f t="shared" si="12"/>
        <v>0.66666666666666663</v>
      </c>
      <c r="J30" s="57">
        <f t="shared" si="12"/>
        <v>0.59259259259259256</v>
      </c>
      <c r="K30" s="57">
        <f t="shared" si="12"/>
        <v>0.53333333333333333</v>
      </c>
      <c r="L30" s="57">
        <f t="shared" si="12"/>
        <v>0.48484848484848481</v>
      </c>
      <c r="M30" s="57">
        <f t="shared" si="12"/>
        <v>0.44444444444444442</v>
      </c>
      <c r="N30" s="57">
        <f t="shared" si="12"/>
        <v>0.41025641025641024</v>
      </c>
      <c r="O30" s="57">
        <f t="shared" si="12"/>
        <v>0.38095238095238093</v>
      </c>
      <c r="P30" s="57">
        <f t="shared" si="12"/>
        <v>0.35555555555555557</v>
      </c>
      <c r="Q30" s="57">
        <f t="shared" si="12"/>
        <v>0.33333333333333331</v>
      </c>
      <c r="R30" s="57">
        <f t="shared" si="12"/>
        <v>0.31372549019607843</v>
      </c>
      <c r="S30" s="57">
        <f t="shared" si="12"/>
        <v>0.29629629629629628</v>
      </c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</row>
    <row r="31" spans="2:41" x14ac:dyDescent="0.25">
      <c r="B31" s="58">
        <v>950</v>
      </c>
      <c r="C31" s="57">
        <f t="shared" ref="C31:T31" si="13">$F$5/(3600*(C13/1000)*($B$31/1000))</f>
        <v>2.5263157894736841</v>
      </c>
      <c r="D31" s="57">
        <f t="shared" si="13"/>
        <v>1.6842105263157894</v>
      </c>
      <c r="E31" s="57">
        <f t="shared" si="13"/>
        <v>1.263157894736842</v>
      </c>
      <c r="F31" s="57">
        <f t="shared" si="13"/>
        <v>1.0105263157894737</v>
      </c>
      <c r="G31" s="57">
        <f t="shared" si="13"/>
        <v>0.84210526315789469</v>
      </c>
      <c r="H31" s="57">
        <f t="shared" si="13"/>
        <v>0.72180451127819545</v>
      </c>
      <c r="I31" s="57">
        <f t="shared" si="13"/>
        <v>0.63157894736842102</v>
      </c>
      <c r="J31" s="57">
        <f t="shared" si="13"/>
        <v>0.56140350877192979</v>
      </c>
      <c r="K31" s="57">
        <f t="shared" si="13"/>
        <v>0.50526315789473686</v>
      </c>
      <c r="L31" s="57">
        <f t="shared" si="13"/>
        <v>0.45933014354066981</v>
      </c>
      <c r="M31" s="57">
        <f t="shared" si="13"/>
        <v>0.42105263157894735</v>
      </c>
      <c r="N31" s="57">
        <f t="shared" si="13"/>
        <v>0.38866396761133604</v>
      </c>
      <c r="O31" s="57">
        <f t="shared" si="13"/>
        <v>0.36090225563909772</v>
      </c>
      <c r="P31" s="57">
        <f t="shared" si="13"/>
        <v>0.33684210526315789</v>
      </c>
      <c r="Q31" s="57">
        <f t="shared" si="13"/>
        <v>0.31578947368421051</v>
      </c>
      <c r="R31" s="57">
        <f t="shared" si="13"/>
        <v>0.29721362229102166</v>
      </c>
      <c r="S31" s="57">
        <f t="shared" si="13"/>
        <v>0.2807017543859649</v>
      </c>
      <c r="T31" s="59">
        <f t="shared" si="13"/>
        <v>0.26592797783933519</v>
      </c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</row>
    <row r="32" spans="2:41" x14ac:dyDescent="0.25">
      <c r="B32" s="58">
        <v>1000</v>
      </c>
      <c r="C32" s="57">
        <f t="shared" ref="C32:U32" si="14">$F$5/(3600*(C13/1000)*($B$32/1000))</f>
        <v>2.4</v>
      </c>
      <c r="D32" s="57">
        <f t="shared" si="14"/>
        <v>1.6</v>
      </c>
      <c r="E32" s="57">
        <f t="shared" si="14"/>
        <v>1.2</v>
      </c>
      <c r="F32" s="57">
        <f t="shared" si="14"/>
        <v>0.96</v>
      </c>
      <c r="G32" s="57">
        <f t="shared" si="14"/>
        <v>0.8</v>
      </c>
      <c r="H32" s="57">
        <f t="shared" si="14"/>
        <v>0.68571428571428572</v>
      </c>
      <c r="I32" s="57">
        <f t="shared" si="14"/>
        <v>0.6</v>
      </c>
      <c r="J32" s="57">
        <f t="shared" si="14"/>
        <v>0.53333333333333333</v>
      </c>
      <c r="K32" s="57">
        <f t="shared" si="14"/>
        <v>0.48</v>
      </c>
      <c r="L32" s="57">
        <f t="shared" si="14"/>
        <v>0.43636363636363629</v>
      </c>
      <c r="M32" s="57">
        <f t="shared" si="14"/>
        <v>0.4</v>
      </c>
      <c r="N32" s="57">
        <f t="shared" si="14"/>
        <v>0.36923076923076925</v>
      </c>
      <c r="O32" s="57">
        <f t="shared" si="14"/>
        <v>0.34285714285714286</v>
      </c>
      <c r="P32" s="57">
        <f t="shared" si="14"/>
        <v>0.32</v>
      </c>
      <c r="Q32" s="57">
        <f t="shared" si="14"/>
        <v>0.3</v>
      </c>
      <c r="R32" s="57">
        <f t="shared" si="14"/>
        <v>0.28235294117647058</v>
      </c>
      <c r="S32" s="57">
        <f t="shared" si="14"/>
        <v>0.26666666666666666</v>
      </c>
      <c r="T32" s="57">
        <f t="shared" si="14"/>
        <v>0.25263157894736843</v>
      </c>
      <c r="U32" s="57">
        <f t="shared" si="14"/>
        <v>0.24</v>
      </c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</row>
    <row r="33" spans="2:41" x14ac:dyDescent="0.25">
      <c r="B33" s="58">
        <v>1050</v>
      </c>
      <c r="C33" s="57">
        <f t="shared" ref="C33:V33" si="15">$F$5/(3600*(C13/1000)*($B$33/1000))</f>
        <v>2.2857142857142856</v>
      </c>
      <c r="D33" s="57">
        <f t="shared" si="15"/>
        <v>1.5238095238095237</v>
      </c>
      <c r="E33" s="57">
        <f t="shared" si="15"/>
        <v>1.1428571428571428</v>
      </c>
      <c r="F33" s="57">
        <f t="shared" si="15"/>
        <v>0.91428571428571426</v>
      </c>
      <c r="G33" s="57">
        <f t="shared" si="15"/>
        <v>0.76190476190476186</v>
      </c>
      <c r="H33" s="57">
        <f t="shared" si="15"/>
        <v>0.65306122448979587</v>
      </c>
      <c r="I33" s="57">
        <f t="shared" si="15"/>
        <v>0.5714285714285714</v>
      </c>
      <c r="J33" s="57">
        <f t="shared" si="15"/>
        <v>0.50793650793650791</v>
      </c>
      <c r="K33" s="57">
        <f t="shared" si="15"/>
        <v>0.45714285714285713</v>
      </c>
      <c r="L33" s="57">
        <f t="shared" si="15"/>
        <v>0.4155844155844155</v>
      </c>
      <c r="M33" s="57">
        <f t="shared" si="15"/>
        <v>0.38095238095238093</v>
      </c>
      <c r="N33" s="57">
        <f t="shared" si="15"/>
        <v>0.35164835164835168</v>
      </c>
      <c r="O33" s="57">
        <f t="shared" si="15"/>
        <v>0.32653061224489793</v>
      </c>
      <c r="P33" s="57">
        <f t="shared" si="15"/>
        <v>0.30476190476190479</v>
      </c>
      <c r="Q33" s="57">
        <f t="shared" si="15"/>
        <v>0.2857142857142857</v>
      </c>
      <c r="R33" s="57">
        <f t="shared" si="15"/>
        <v>0.26890756302521007</v>
      </c>
      <c r="S33" s="57">
        <f t="shared" si="15"/>
        <v>0.25396825396825395</v>
      </c>
      <c r="T33" s="57">
        <f t="shared" si="15"/>
        <v>0.24060150375939848</v>
      </c>
      <c r="U33" s="57">
        <f t="shared" si="15"/>
        <v>0.22857142857142856</v>
      </c>
      <c r="V33" s="57">
        <f t="shared" si="15"/>
        <v>0.21768707482993196</v>
      </c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</row>
    <row r="34" spans="2:41" x14ac:dyDescent="0.25">
      <c r="B34" s="58">
        <v>1100</v>
      </c>
      <c r="C34" s="57">
        <f t="shared" ref="C34:W34" si="16">$F$5/(3600*(C13/1000)*($B$34/1000))</f>
        <v>2.1818181818181817</v>
      </c>
      <c r="D34" s="57">
        <f t="shared" si="16"/>
        <v>1.4545454545454546</v>
      </c>
      <c r="E34" s="57">
        <f t="shared" si="16"/>
        <v>1.0909090909090908</v>
      </c>
      <c r="F34" s="57">
        <f t="shared" si="16"/>
        <v>0.87272727272727257</v>
      </c>
      <c r="G34" s="57">
        <f t="shared" si="16"/>
        <v>0.72727272727272729</v>
      </c>
      <c r="H34" s="57">
        <f t="shared" si="16"/>
        <v>0.62337662337662336</v>
      </c>
      <c r="I34" s="57">
        <f t="shared" si="16"/>
        <v>0.54545454545454541</v>
      </c>
      <c r="J34" s="57">
        <f t="shared" si="16"/>
        <v>0.48484848484848481</v>
      </c>
      <c r="K34" s="57">
        <f t="shared" si="16"/>
        <v>0.43636363636363629</v>
      </c>
      <c r="L34" s="57">
        <f t="shared" si="16"/>
        <v>0.39669421487603296</v>
      </c>
      <c r="M34" s="57">
        <f t="shared" si="16"/>
        <v>0.36363636363636365</v>
      </c>
      <c r="N34" s="57">
        <f t="shared" si="16"/>
        <v>0.33566433566433568</v>
      </c>
      <c r="O34" s="57">
        <f t="shared" si="16"/>
        <v>0.31168831168831168</v>
      </c>
      <c r="P34" s="57">
        <f t="shared" si="16"/>
        <v>0.29090909090909084</v>
      </c>
      <c r="Q34" s="57">
        <f t="shared" si="16"/>
        <v>0.27272727272727271</v>
      </c>
      <c r="R34" s="57">
        <f t="shared" si="16"/>
        <v>0.2566844919786096</v>
      </c>
      <c r="S34" s="57">
        <f t="shared" si="16"/>
        <v>0.2424242424242424</v>
      </c>
      <c r="T34" s="57">
        <f t="shared" si="16"/>
        <v>0.22966507177033491</v>
      </c>
      <c r="U34" s="57">
        <f t="shared" si="16"/>
        <v>0.21818181818181814</v>
      </c>
      <c r="V34" s="57">
        <f t="shared" si="16"/>
        <v>0.20779220779220781</v>
      </c>
      <c r="W34" s="57">
        <f t="shared" si="16"/>
        <v>0.19834710743801648</v>
      </c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</row>
    <row r="35" spans="2:41" x14ac:dyDescent="0.25">
      <c r="B35" s="58">
        <v>1150</v>
      </c>
      <c r="C35" s="57">
        <f t="shared" ref="C35:X35" si="17">$F$5/(3600*(C13/1000)*($B$35/1000))</f>
        <v>2.0869565217391308</v>
      </c>
      <c r="D35" s="57">
        <f t="shared" si="17"/>
        <v>1.3913043478260869</v>
      </c>
      <c r="E35" s="57">
        <f t="shared" si="17"/>
        <v>1.0434782608695654</v>
      </c>
      <c r="F35" s="57">
        <f t="shared" si="17"/>
        <v>0.83478260869565213</v>
      </c>
      <c r="G35" s="57">
        <f t="shared" si="17"/>
        <v>0.69565217391304346</v>
      </c>
      <c r="H35" s="57">
        <f t="shared" si="17"/>
        <v>0.59627329192546585</v>
      </c>
      <c r="I35" s="57">
        <f t="shared" si="17"/>
        <v>0.52173913043478271</v>
      </c>
      <c r="J35" s="57">
        <f t="shared" si="17"/>
        <v>0.46376811594202905</v>
      </c>
      <c r="K35" s="57">
        <f t="shared" si="17"/>
        <v>0.41739130434782606</v>
      </c>
      <c r="L35" s="57">
        <f t="shared" si="17"/>
        <v>0.37944664031620551</v>
      </c>
      <c r="M35" s="57">
        <f t="shared" si="17"/>
        <v>0.34782608695652173</v>
      </c>
      <c r="N35" s="57">
        <f t="shared" si="17"/>
        <v>0.32107023411371238</v>
      </c>
      <c r="O35" s="57">
        <f t="shared" si="17"/>
        <v>0.29813664596273293</v>
      </c>
      <c r="P35" s="57">
        <f t="shared" si="17"/>
        <v>0.27826086956521745</v>
      </c>
      <c r="Q35" s="57">
        <f t="shared" si="17"/>
        <v>0.26086956521739135</v>
      </c>
      <c r="R35" s="57">
        <f t="shared" si="17"/>
        <v>0.24552429667519185</v>
      </c>
      <c r="S35" s="57">
        <f t="shared" si="17"/>
        <v>0.23188405797101452</v>
      </c>
      <c r="T35" s="57">
        <f t="shared" si="17"/>
        <v>0.2196796338672769</v>
      </c>
      <c r="U35" s="57">
        <f t="shared" si="17"/>
        <v>0.20869565217391303</v>
      </c>
      <c r="V35" s="57">
        <f t="shared" si="17"/>
        <v>0.19875776397515527</v>
      </c>
      <c r="W35" s="57">
        <f t="shared" si="17"/>
        <v>0.18972332015810275</v>
      </c>
      <c r="X35" s="57">
        <f t="shared" si="17"/>
        <v>0.18147448015122875</v>
      </c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</row>
    <row r="36" spans="2:41" x14ac:dyDescent="0.25">
      <c r="B36" s="58">
        <v>1200</v>
      </c>
      <c r="C36" s="57">
        <f t="shared" ref="C36:Y36" si="18">$F$5/(3600*(C13/1000)*($B$36/1000))</f>
        <v>2</v>
      </c>
      <c r="D36" s="57">
        <f t="shared" si="18"/>
        <v>1.3333333333333333</v>
      </c>
      <c r="E36" s="57">
        <f t="shared" si="18"/>
        <v>1</v>
      </c>
      <c r="F36" s="57">
        <f t="shared" si="18"/>
        <v>0.8</v>
      </c>
      <c r="G36" s="57">
        <f t="shared" si="18"/>
        <v>0.66666666666666663</v>
      </c>
      <c r="H36" s="57">
        <f t="shared" si="18"/>
        <v>0.5714285714285714</v>
      </c>
      <c r="I36" s="57">
        <f t="shared" si="18"/>
        <v>0.5</v>
      </c>
      <c r="J36" s="57">
        <f t="shared" si="18"/>
        <v>0.44444444444444442</v>
      </c>
      <c r="K36" s="57">
        <f t="shared" si="18"/>
        <v>0.4</v>
      </c>
      <c r="L36" s="57">
        <f t="shared" si="18"/>
        <v>0.36363636363636365</v>
      </c>
      <c r="M36" s="57">
        <f t="shared" si="18"/>
        <v>0.33333333333333331</v>
      </c>
      <c r="N36" s="57">
        <f t="shared" si="18"/>
        <v>0.30769230769230771</v>
      </c>
      <c r="O36" s="57">
        <f t="shared" si="18"/>
        <v>0.2857142857142857</v>
      </c>
      <c r="P36" s="57">
        <f t="shared" si="18"/>
        <v>0.26666666666666666</v>
      </c>
      <c r="Q36" s="57">
        <f t="shared" si="18"/>
        <v>0.25</v>
      </c>
      <c r="R36" s="57">
        <f t="shared" si="18"/>
        <v>0.23529411764705882</v>
      </c>
      <c r="S36" s="57">
        <f t="shared" si="18"/>
        <v>0.22222222222222221</v>
      </c>
      <c r="T36" s="57">
        <f t="shared" si="18"/>
        <v>0.21052631578947367</v>
      </c>
      <c r="U36" s="57">
        <f t="shared" si="18"/>
        <v>0.2</v>
      </c>
      <c r="V36" s="57">
        <f t="shared" si="18"/>
        <v>0.19047619047619047</v>
      </c>
      <c r="W36" s="57">
        <f t="shared" si="18"/>
        <v>0.18181818181818182</v>
      </c>
      <c r="X36" s="57">
        <f t="shared" si="18"/>
        <v>0.17391304347826086</v>
      </c>
      <c r="Y36" s="57">
        <f t="shared" si="18"/>
        <v>0.16666666666666666</v>
      </c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</row>
    <row r="37" spans="2:41" x14ac:dyDescent="0.25">
      <c r="B37" s="58">
        <v>1250</v>
      </c>
      <c r="C37" s="57">
        <f t="shared" ref="C37:Z37" si="19">$F$5/(3600*(C13/1000)*($B$37/1000))</f>
        <v>1.92</v>
      </c>
      <c r="D37" s="57">
        <f t="shared" si="19"/>
        <v>1.28</v>
      </c>
      <c r="E37" s="57">
        <f t="shared" si="19"/>
        <v>0.96</v>
      </c>
      <c r="F37" s="57">
        <f t="shared" si="19"/>
        <v>0.76800000000000002</v>
      </c>
      <c r="G37" s="57">
        <f t="shared" si="19"/>
        <v>0.64</v>
      </c>
      <c r="H37" s="57">
        <f t="shared" si="19"/>
        <v>0.5485714285714286</v>
      </c>
      <c r="I37" s="57">
        <f t="shared" si="19"/>
        <v>0.48</v>
      </c>
      <c r="J37" s="57">
        <f t="shared" si="19"/>
        <v>0.42666666666666669</v>
      </c>
      <c r="K37" s="57">
        <f t="shared" si="19"/>
        <v>0.38400000000000001</v>
      </c>
      <c r="L37" s="57">
        <f t="shared" si="19"/>
        <v>0.34909090909090901</v>
      </c>
      <c r="M37" s="57">
        <f t="shared" si="19"/>
        <v>0.32</v>
      </c>
      <c r="N37" s="57">
        <f t="shared" si="19"/>
        <v>0.29538461538461541</v>
      </c>
      <c r="O37" s="57">
        <f t="shared" si="19"/>
        <v>0.2742857142857143</v>
      </c>
      <c r="P37" s="57">
        <f t="shared" si="19"/>
        <v>0.25600000000000001</v>
      </c>
      <c r="Q37" s="57">
        <f t="shared" si="19"/>
        <v>0.24</v>
      </c>
      <c r="R37" s="57">
        <f t="shared" si="19"/>
        <v>0.22588235294117648</v>
      </c>
      <c r="S37" s="57">
        <f t="shared" si="19"/>
        <v>0.21333333333333335</v>
      </c>
      <c r="T37" s="57">
        <f t="shared" si="19"/>
        <v>0.20210526315789473</v>
      </c>
      <c r="U37" s="57">
        <f t="shared" si="19"/>
        <v>0.192</v>
      </c>
      <c r="V37" s="57">
        <f t="shared" si="19"/>
        <v>0.18285714285714286</v>
      </c>
      <c r="W37" s="57">
        <f t="shared" si="19"/>
        <v>0.1745454545454545</v>
      </c>
      <c r="X37" s="57">
        <f t="shared" si="19"/>
        <v>0.16695652173913045</v>
      </c>
      <c r="Y37" s="57">
        <f t="shared" si="19"/>
        <v>0.16</v>
      </c>
      <c r="Z37" s="57">
        <f t="shared" si="19"/>
        <v>0.15359999999999999</v>
      </c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</row>
    <row r="38" spans="2:41" x14ac:dyDescent="0.25">
      <c r="B38" s="62">
        <v>1300</v>
      </c>
      <c r="C38" s="61">
        <f t="shared" ref="C38:AA38" si="20">$F$5/(3600*(C13/1000)*($B$38/1000))</f>
        <v>1.8461538461538463</v>
      </c>
      <c r="D38" s="57">
        <f t="shared" si="20"/>
        <v>1.2307692307692308</v>
      </c>
      <c r="E38" s="57">
        <f t="shared" si="20"/>
        <v>0.92307692307692313</v>
      </c>
      <c r="F38" s="57">
        <f t="shared" si="20"/>
        <v>0.7384615384615385</v>
      </c>
      <c r="G38" s="57">
        <f t="shared" si="20"/>
        <v>0.61538461538461542</v>
      </c>
      <c r="H38" s="57">
        <f t="shared" si="20"/>
        <v>0.52747252747252749</v>
      </c>
      <c r="I38" s="57">
        <f t="shared" si="20"/>
        <v>0.46153846153846156</v>
      </c>
      <c r="J38" s="57">
        <f t="shared" si="20"/>
        <v>0.41025641025641024</v>
      </c>
      <c r="K38" s="57">
        <f t="shared" si="20"/>
        <v>0.36923076923076925</v>
      </c>
      <c r="L38" s="57">
        <f t="shared" si="20"/>
        <v>0.33566433566433562</v>
      </c>
      <c r="M38" s="57">
        <f t="shared" si="20"/>
        <v>0.30769230769230771</v>
      </c>
      <c r="N38" s="57">
        <f t="shared" si="20"/>
        <v>0.28402366863905326</v>
      </c>
      <c r="O38" s="57">
        <f t="shared" si="20"/>
        <v>0.26373626373626374</v>
      </c>
      <c r="P38" s="57">
        <f t="shared" si="20"/>
        <v>0.24615384615384617</v>
      </c>
      <c r="Q38" s="57">
        <f t="shared" si="20"/>
        <v>0.23076923076923078</v>
      </c>
      <c r="R38" s="57">
        <f t="shared" si="20"/>
        <v>0.21719457013574661</v>
      </c>
      <c r="S38" s="57">
        <f t="shared" si="20"/>
        <v>0.20512820512820512</v>
      </c>
      <c r="T38" s="57">
        <f t="shared" si="20"/>
        <v>0.19433198380566802</v>
      </c>
      <c r="U38" s="57">
        <f t="shared" si="20"/>
        <v>0.18461538461538463</v>
      </c>
      <c r="V38" s="57">
        <f t="shared" si="20"/>
        <v>0.17582417582417584</v>
      </c>
      <c r="W38" s="57">
        <f t="shared" si="20"/>
        <v>0.16783216783216781</v>
      </c>
      <c r="X38" s="57">
        <f t="shared" si="20"/>
        <v>0.16053511705685619</v>
      </c>
      <c r="Y38" s="57">
        <f t="shared" si="20"/>
        <v>0.15384615384615385</v>
      </c>
      <c r="Z38" s="57">
        <f t="shared" si="20"/>
        <v>0.14769230769230771</v>
      </c>
      <c r="AA38" s="57">
        <f t="shared" si="20"/>
        <v>0.14201183431952663</v>
      </c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</row>
    <row r="39" spans="2:41" x14ac:dyDescent="0.25">
      <c r="B39" s="62">
        <v>1350</v>
      </c>
      <c r="C39" s="61">
        <f t="shared" ref="C39:AB39" si="21">$F$5/(3600*(C13/1000)*($B$39/1000))</f>
        <v>1.7777777777777777</v>
      </c>
      <c r="D39" s="57">
        <f t="shared" si="21"/>
        <v>1.1851851851851851</v>
      </c>
      <c r="E39" s="57">
        <f t="shared" si="21"/>
        <v>0.88888888888888884</v>
      </c>
      <c r="F39" s="57">
        <f t="shared" si="21"/>
        <v>0.71111111111111114</v>
      </c>
      <c r="G39" s="57">
        <f t="shared" si="21"/>
        <v>0.59259259259259256</v>
      </c>
      <c r="H39" s="57">
        <f t="shared" si="21"/>
        <v>0.50793650793650791</v>
      </c>
      <c r="I39" s="57">
        <f t="shared" si="21"/>
        <v>0.44444444444444442</v>
      </c>
      <c r="J39" s="57">
        <f t="shared" si="21"/>
        <v>0.39506172839506171</v>
      </c>
      <c r="K39" s="57">
        <f t="shared" si="21"/>
        <v>0.35555555555555557</v>
      </c>
      <c r="L39" s="57">
        <f t="shared" si="21"/>
        <v>0.3232323232323232</v>
      </c>
      <c r="M39" s="57">
        <f t="shared" si="21"/>
        <v>0.29629629629629628</v>
      </c>
      <c r="N39" s="57">
        <f t="shared" si="21"/>
        <v>0.27350427350427353</v>
      </c>
      <c r="O39" s="57">
        <f t="shared" si="21"/>
        <v>0.25396825396825395</v>
      </c>
      <c r="P39" s="57">
        <f t="shared" si="21"/>
        <v>0.23703703703703702</v>
      </c>
      <c r="Q39" s="57">
        <f t="shared" si="21"/>
        <v>0.22222222222222221</v>
      </c>
      <c r="R39" s="57">
        <f t="shared" si="21"/>
        <v>0.20915032679738563</v>
      </c>
      <c r="S39" s="57">
        <f t="shared" si="21"/>
        <v>0.19753086419753085</v>
      </c>
      <c r="T39" s="57">
        <f t="shared" si="21"/>
        <v>0.1871345029239766</v>
      </c>
      <c r="U39" s="57">
        <f t="shared" si="21"/>
        <v>0.17777777777777778</v>
      </c>
      <c r="V39" s="57">
        <f t="shared" si="21"/>
        <v>0.1693121693121693</v>
      </c>
      <c r="W39" s="57">
        <f t="shared" si="21"/>
        <v>0.1616161616161616</v>
      </c>
      <c r="X39" s="57">
        <f t="shared" si="21"/>
        <v>0.15458937198067632</v>
      </c>
      <c r="Y39" s="57">
        <f t="shared" si="21"/>
        <v>0.14814814814814814</v>
      </c>
      <c r="Z39" s="57">
        <f t="shared" si="21"/>
        <v>0.14222222222222222</v>
      </c>
      <c r="AA39" s="57">
        <f t="shared" si="21"/>
        <v>0.13675213675213677</v>
      </c>
      <c r="AB39" s="57">
        <f t="shared" si="21"/>
        <v>0.13168724279835392</v>
      </c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</row>
    <row r="40" spans="2:41" x14ac:dyDescent="0.25">
      <c r="B40" s="58">
        <v>1400</v>
      </c>
      <c r="C40" s="57">
        <f t="shared" ref="C40:AO40" si="22">$F$5/(3600*(C13/1000)*($B$40/1000))</f>
        <v>1.7142857142857144</v>
      </c>
      <c r="D40" s="59">
        <f t="shared" si="22"/>
        <v>1.1428571428571428</v>
      </c>
      <c r="E40" s="59">
        <f t="shared" si="22"/>
        <v>0.85714285714285721</v>
      </c>
      <c r="F40" s="59">
        <f t="shared" si="22"/>
        <v>0.68571428571428572</v>
      </c>
      <c r="G40" s="59">
        <f t="shared" si="22"/>
        <v>0.5714285714285714</v>
      </c>
      <c r="H40" s="59">
        <f t="shared" si="22"/>
        <v>0.48979591836734693</v>
      </c>
      <c r="I40" s="59">
        <f t="shared" si="22"/>
        <v>0.4285714285714286</v>
      </c>
      <c r="J40" s="59">
        <f t="shared" si="22"/>
        <v>0.38095238095238093</v>
      </c>
      <c r="K40" s="59">
        <f t="shared" si="22"/>
        <v>0.34285714285714286</v>
      </c>
      <c r="L40" s="59">
        <f t="shared" si="22"/>
        <v>0.31168831168831168</v>
      </c>
      <c r="M40" s="59">
        <f t="shared" si="22"/>
        <v>0.2857142857142857</v>
      </c>
      <c r="N40" s="59">
        <f t="shared" si="22"/>
        <v>0.26373626373626374</v>
      </c>
      <c r="O40" s="59">
        <f t="shared" si="22"/>
        <v>0.24489795918367346</v>
      </c>
      <c r="P40" s="59">
        <f t="shared" si="22"/>
        <v>0.22857142857142859</v>
      </c>
      <c r="Q40" s="59">
        <f t="shared" si="22"/>
        <v>0.2142857142857143</v>
      </c>
      <c r="R40" s="59">
        <f t="shared" si="22"/>
        <v>0.20168067226890757</v>
      </c>
      <c r="S40" s="59">
        <f t="shared" si="22"/>
        <v>0.19047619047619047</v>
      </c>
      <c r="T40" s="59">
        <f t="shared" si="22"/>
        <v>0.18045112781954886</v>
      </c>
      <c r="U40" s="59">
        <f t="shared" si="22"/>
        <v>0.17142857142857143</v>
      </c>
      <c r="V40" s="59">
        <f t="shared" si="22"/>
        <v>0.16326530612244897</v>
      </c>
      <c r="W40" s="59">
        <f t="shared" si="22"/>
        <v>0.15584415584415584</v>
      </c>
      <c r="X40" s="59">
        <f t="shared" si="22"/>
        <v>0.14906832298136646</v>
      </c>
      <c r="Y40" s="59">
        <f t="shared" si="22"/>
        <v>0.14285714285714285</v>
      </c>
      <c r="Z40" s="59">
        <f t="shared" si="22"/>
        <v>0.13714285714285715</v>
      </c>
      <c r="AA40" s="59">
        <f t="shared" si="22"/>
        <v>0.13186813186813187</v>
      </c>
      <c r="AB40" s="59">
        <f t="shared" si="22"/>
        <v>0.12698412698412698</v>
      </c>
      <c r="AC40" s="59">
        <f t="shared" si="22"/>
        <v>0.12244897959183673</v>
      </c>
      <c r="AD40" s="59">
        <f t="shared" si="22"/>
        <v>0.11822660098522168</v>
      </c>
      <c r="AE40" s="59">
        <f t="shared" si="22"/>
        <v>0.1142857142857143</v>
      </c>
      <c r="AF40" s="59">
        <f t="shared" si="22"/>
        <v>0.11059907834101383</v>
      </c>
      <c r="AG40" s="59">
        <f t="shared" si="22"/>
        <v>0.10714285714285715</v>
      </c>
      <c r="AH40" s="59">
        <f t="shared" si="22"/>
        <v>0.1038961038961039</v>
      </c>
      <c r="AI40" s="59">
        <f t="shared" si="22"/>
        <v>0.10084033613445378</v>
      </c>
      <c r="AJ40" s="59">
        <f t="shared" si="22"/>
        <v>9.7959183673469383E-2</v>
      </c>
      <c r="AK40" s="59">
        <f t="shared" si="22"/>
        <v>9.5238095238095233E-2</v>
      </c>
      <c r="AL40" s="59">
        <f t="shared" si="22"/>
        <v>9.2664092664092659E-2</v>
      </c>
      <c r="AM40" s="59">
        <f t="shared" si="22"/>
        <v>9.0225563909774431E-2</v>
      </c>
      <c r="AN40" s="59">
        <f t="shared" si="22"/>
        <v>8.7912087912087919E-2</v>
      </c>
      <c r="AO40" s="59">
        <f t="shared" si="22"/>
        <v>8.5714285714285715E-2</v>
      </c>
    </row>
    <row r="41" spans="2:41" x14ac:dyDescent="0.25">
      <c r="B41" s="58">
        <v>1450</v>
      </c>
      <c r="C41" s="57">
        <f t="shared" ref="C41:AO41" si="23">$F$5/(3600*(C13/1000)*($B$41/1000))</f>
        <v>1.6551724137931034</v>
      </c>
      <c r="D41" s="59">
        <f t="shared" si="23"/>
        <v>1.103448275862069</v>
      </c>
      <c r="E41" s="59">
        <f t="shared" si="23"/>
        <v>0.82758620689655171</v>
      </c>
      <c r="F41" s="59">
        <f t="shared" si="23"/>
        <v>0.66206896551724137</v>
      </c>
      <c r="G41" s="59">
        <f t="shared" si="23"/>
        <v>0.55172413793103448</v>
      </c>
      <c r="H41" s="59">
        <f t="shared" si="23"/>
        <v>0.47290640394088668</v>
      </c>
      <c r="I41" s="59">
        <f t="shared" si="23"/>
        <v>0.41379310344827586</v>
      </c>
      <c r="J41" s="59">
        <f t="shared" si="23"/>
        <v>0.36781609195402298</v>
      </c>
      <c r="K41" s="59">
        <f t="shared" si="23"/>
        <v>0.33103448275862069</v>
      </c>
      <c r="L41" s="59">
        <f t="shared" si="23"/>
        <v>0.30094043887147331</v>
      </c>
      <c r="M41" s="59">
        <f t="shared" si="23"/>
        <v>0.27586206896551724</v>
      </c>
      <c r="N41" s="59">
        <f t="shared" si="23"/>
        <v>0.25464190981432361</v>
      </c>
      <c r="O41" s="59">
        <f t="shared" si="23"/>
        <v>0.23645320197044334</v>
      </c>
      <c r="P41" s="59">
        <f t="shared" si="23"/>
        <v>0.22068965517241379</v>
      </c>
      <c r="Q41" s="59">
        <f t="shared" si="23"/>
        <v>0.20689655172413793</v>
      </c>
      <c r="R41" s="59">
        <f t="shared" si="23"/>
        <v>0.1947261663286004</v>
      </c>
      <c r="S41" s="59">
        <f t="shared" si="23"/>
        <v>0.18390804597701149</v>
      </c>
      <c r="T41" s="59">
        <f t="shared" si="23"/>
        <v>0.17422867513611615</v>
      </c>
      <c r="U41" s="59">
        <f t="shared" si="23"/>
        <v>0.16551724137931034</v>
      </c>
      <c r="V41" s="59">
        <f t="shared" si="23"/>
        <v>0.15763546798029557</v>
      </c>
      <c r="W41" s="59">
        <f t="shared" si="23"/>
        <v>0.15047021943573666</v>
      </c>
      <c r="X41" s="59">
        <f t="shared" si="23"/>
        <v>0.14392803598200898</v>
      </c>
      <c r="Y41" s="59">
        <f t="shared" si="23"/>
        <v>0.13793103448275862</v>
      </c>
      <c r="Z41" s="59">
        <f t="shared" si="23"/>
        <v>0.13241379310344828</v>
      </c>
      <c r="AA41" s="59">
        <f t="shared" si="23"/>
        <v>0.1273209549071618</v>
      </c>
      <c r="AB41" s="59">
        <f t="shared" si="23"/>
        <v>0.12260536398467432</v>
      </c>
      <c r="AC41" s="59">
        <f t="shared" si="23"/>
        <v>0.11822660098522167</v>
      </c>
      <c r="AD41" s="59">
        <f t="shared" si="23"/>
        <v>0.11414982164090369</v>
      </c>
      <c r="AE41" s="59">
        <f t="shared" si="23"/>
        <v>0.1103448275862069</v>
      </c>
      <c r="AF41" s="59">
        <f t="shared" si="23"/>
        <v>0.10678531701890991</v>
      </c>
      <c r="AG41" s="59">
        <f t="shared" si="23"/>
        <v>0.10344827586206896</v>
      </c>
      <c r="AH41" s="59">
        <f t="shared" si="23"/>
        <v>0.10031347962382445</v>
      </c>
      <c r="AI41" s="59">
        <f t="shared" si="23"/>
        <v>9.7363083164300201E-2</v>
      </c>
      <c r="AJ41" s="59">
        <f t="shared" si="23"/>
        <v>9.4581280788177347E-2</v>
      </c>
      <c r="AK41" s="59">
        <f t="shared" si="23"/>
        <v>9.1954022988505746E-2</v>
      </c>
      <c r="AL41" s="59">
        <f t="shared" si="23"/>
        <v>8.9468779123951542E-2</v>
      </c>
      <c r="AM41" s="59">
        <f t="shared" si="23"/>
        <v>8.7114337568058073E-2</v>
      </c>
      <c r="AN41" s="59">
        <f t="shared" si="23"/>
        <v>8.4880636604774531E-2</v>
      </c>
      <c r="AO41" s="59">
        <f t="shared" si="23"/>
        <v>8.2758620689655171E-2</v>
      </c>
    </row>
    <row r="42" spans="2:41" x14ac:dyDescent="0.25">
      <c r="B42" s="58">
        <v>1500</v>
      </c>
      <c r="C42" s="57">
        <f t="shared" ref="C42:AO42" si="24">$F$5/(3600*(C13/1000)*($B$42/1000))</f>
        <v>1.6</v>
      </c>
      <c r="D42" s="59">
        <f t="shared" si="24"/>
        <v>1.0666666666666667</v>
      </c>
      <c r="E42" s="59">
        <f t="shared" si="24"/>
        <v>0.8</v>
      </c>
      <c r="F42" s="59">
        <f t="shared" si="24"/>
        <v>0.64</v>
      </c>
      <c r="G42" s="59">
        <f t="shared" si="24"/>
        <v>0.53333333333333333</v>
      </c>
      <c r="H42" s="59">
        <f t="shared" si="24"/>
        <v>0.45714285714285713</v>
      </c>
      <c r="I42" s="59">
        <f t="shared" si="24"/>
        <v>0.4</v>
      </c>
      <c r="J42" s="59">
        <f t="shared" si="24"/>
        <v>0.35555555555555557</v>
      </c>
      <c r="K42" s="59">
        <f t="shared" si="24"/>
        <v>0.32</v>
      </c>
      <c r="L42" s="59">
        <f t="shared" si="24"/>
        <v>0.29090909090909084</v>
      </c>
      <c r="M42" s="59">
        <f t="shared" si="24"/>
        <v>0.26666666666666666</v>
      </c>
      <c r="N42" s="59">
        <f t="shared" si="24"/>
        <v>0.24615384615384617</v>
      </c>
      <c r="O42" s="59">
        <f t="shared" si="24"/>
        <v>0.22857142857142856</v>
      </c>
      <c r="P42" s="59">
        <f t="shared" si="24"/>
        <v>0.21333333333333335</v>
      </c>
      <c r="Q42" s="59">
        <f t="shared" si="24"/>
        <v>0.2</v>
      </c>
      <c r="R42" s="59">
        <f t="shared" si="24"/>
        <v>0.18823529411764706</v>
      </c>
      <c r="S42" s="59">
        <f t="shared" si="24"/>
        <v>0.17777777777777778</v>
      </c>
      <c r="T42" s="59">
        <f t="shared" si="24"/>
        <v>0.16842105263157894</v>
      </c>
      <c r="U42" s="59">
        <f t="shared" si="24"/>
        <v>0.16</v>
      </c>
      <c r="V42" s="59">
        <f t="shared" si="24"/>
        <v>0.15238095238095239</v>
      </c>
      <c r="W42" s="59">
        <f t="shared" si="24"/>
        <v>0.14545454545454542</v>
      </c>
      <c r="X42" s="59">
        <f t="shared" si="24"/>
        <v>0.1391304347826087</v>
      </c>
      <c r="Y42" s="59">
        <f t="shared" si="24"/>
        <v>0.13333333333333333</v>
      </c>
      <c r="Z42" s="59">
        <f t="shared" si="24"/>
        <v>0.128</v>
      </c>
      <c r="AA42" s="59">
        <f t="shared" si="24"/>
        <v>0.12307692307692308</v>
      </c>
      <c r="AB42" s="59">
        <f t="shared" si="24"/>
        <v>0.11851851851851852</v>
      </c>
      <c r="AC42" s="59">
        <f t="shared" si="24"/>
        <v>0.11428571428571428</v>
      </c>
      <c r="AD42" s="59">
        <f t="shared" si="24"/>
        <v>0.1103448275862069</v>
      </c>
      <c r="AE42" s="59">
        <f t="shared" si="24"/>
        <v>0.10666666666666667</v>
      </c>
      <c r="AF42" s="59">
        <f t="shared" si="24"/>
        <v>0.1032258064516129</v>
      </c>
      <c r="AG42" s="59">
        <f t="shared" si="24"/>
        <v>0.1</v>
      </c>
      <c r="AH42" s="59">
        <f t="shared" si="24"/>
        <v>9.696969696969697E-2</v>
      </c>
      <c r="AI42" s="59">
        <f t="shared" si="24"/>
        <v>9.4117647058823528E-2</v>
      </c>
      <c r="AJ42" s="59">
        <f t="shared" si="24"/>
        <v>9.1428571428571428E-2</v>
      </c>
      <c r="AK42" s="59">
        <f t="shared" si="24"/>
        <v>8.8888888888888892E-2</v>
      </c>
      <c r="AL42" s="59">
        <f t="shared" si="24"/>
        <v>8.6486486486486491E-2</v>
      </c>
      <c r="AM42" s="59">
        <f t="shared" si="24"/>
        <v>8.4210526315789472E-2</v>
      </c>
      <c r="AN42" s="59">
        <f t="shared" si="24"/>
        <v>8.2051282051282051E-2</v>
      </c>
      <c r="AO42" s="59">
        <f t="shared" si="24"/>
        <v>0.08</v>
      </c>
    </row>
    <row r="43" spans="2:41" x14ac:dyDescent="0.25">
      <c r="B43" s="58">
        <v>1550</v>
      </c>
      <c r="C43" s="57">
        <f t="shared" ref="C43:AO43" si="25">$F$5/(3600*(C13/1000)*($B$43/1000))</f>
        <v>1.5483870967741935</v>
      </c>
      <c r="D43" s="59">
        <f t="shared" si="25"/>
        <v>1.032258064516129</v>
      </c>
      <c r="E43" s="59">
        <f t="shared" si="25"/>
        <v>0.77419354838709675</v>
      </c>
      <c r="F43" s="59">
        <f t="shared" si="25"/>
        <v>0.61935483870967745</v>
      </c>
      <c r="G43" s="59">
        <f t="shared" si="25"/>
        <v>0.5161290322580645</v>
      </c>
      <c r="H43" s="59">
        <f t="shared" si="25"/>
        <v>0.44239631336405533</v>
      </c>
      <c r="I43" s="59">
        <f t="shared" si="25"/>
        <v>0.38709677419354838</v>
      </c>
      <c r="J43" s="59">
        <f t="shared" si="25"/>
        <v>0.34408602150537637</v>
      </c>
      <c r="K43" s="59">
        <f t="shared" si="25"/>
        <v>0.30967741935483872</v>
      </c>
      <c r="L43" s="59">
        <f t="shared" si="25"/>
        <v>0.28152492668621698</v>
      </c>
      <c r="M43" s="59">
        <f t="shared" si="25"/>
        <v>0.25806451612903225</v>
      </c>
      <c r="N43" s="59">
        <f t="shared" si="25"/>
        <v>0.23821339950372208</v>
      </c>
      <c r="O43" s="59">
        <f t="shared" si="25"/>
        <v>0.22119815668202766</v>
      </c>
      <c r="P43" s="59">
        <f t="shared" si="25"/>
        <v>0.20645161290322581</v>
      </c>
      <c r="Q43" s="59">
        <f t="shared" si="25"/>
        <v>0.19354838709677419</v>
      </c>
      <c r="R43" s="59">
        <f t="shared" si="25"/>
        <v>0.18216318785578747</v>
      </c>
      <c r="S43" s="59">
        <f t="shared" si="25"/>
        <v>0.17204301075268819</v>
      </c>
      <c r="T43" s="59">
        <f t="shared" si="25"/>
        <v>0.16298811544991512</v>
      </c>
      <c r="U43" s="59">
        <f t="shared" si="25"/>
        <v>0.15483870967741936</v>
      </c>
      <c r="V43" s="59">
        <f t="shared" si="25"/>
        <v>0.14746543778801843</v>
      </c>
      <c r="W43" s="59">
        <f t="shared" si="25"/>
        <v>0.14076246334310849</v>
      </c>
      <c r="X43" s="59">
        <f t="shared" si="25"/>
        <v>0.13464235624123422</v>
      </c>
      <c r="Y43" s="59">
        <f t="shared" si="25"/>
        <v>0.12903225806451613</v>
      </c>
      <c r="Z43" s="59">
        <f t="shared" si="25"/>
        <v>0.12387096774193548</v>
      </c>
      <c r="AA43" s="59">
        <f t="shared" si="25"/>
        <v>0.11910669975186104</v>
      </c>
      <c r="AB43" s="59">
        <f t="shared" si="25"/>
        <v>0.11469534050179211</v>
      </c>
      <c r="AC43" s="59">
        <f t="shared" si="25"/>
        <v>0.11059907834101383</v>
      </c>
      <c r="AD43" s="59">
        <f t="shared" si="25"/>
        <v>0.10678531701890991</v>
      </c>
      <c r="AE43" s="59">
        <f t="shared" si="25"/>
        <v>0.1032258064516129</v>
      </c>
      <c r="AF43" s="59">
        <f t="shared" si="25"/>
        <v>9.9895941727367321E-2</v>
      </c>
      <c r="AG43" s="59">
        <f t="shared" si="25"/>
        <v>9.6774193548387094E-2</v>
      </c>
      <c r="AH43" s="59">
        <f t="shared" si="25"/>
        <v>9.3841642228739003E-2</v>
      </c>
      <c r="AI43" s="59">
        <f t="shared" si="25"/>
        <v>9.1081593927893736E-2</v>
      </c>
      <c r="AJ43" s="59">
        <f t="shared" si="25"/>
        <v>8.847926267281106E-2</v>
      </c>
      <c r="AK43" s="59">
        <f t="shared" si="25"/>
        <v>8.6021505376344093E-2</v>
      </c>
      <c r="AL43" s="59">
        <f t="shared" si="25"/>
        <v>8.3696599825632087E-2</v>
      </c>
      <c r="AM43" s="59">
        <f t="shared" si="25"/>
        <v>8.1494057724957561E-2</v>
      </c>
      <c r="AN43" s="59">
        <f t="shared" si="25"/>
        <v>7.9404466501240695E-2</v>
      </c>
      <c r="AO43" s="59">
        <f t="shared" si="25"/>
        <v>7.7419354838709681E-2</v>
      </c>
    </row>
    <row r="44" spans="2:41" x14ac:dyDescent="0.25">
      <c r="B44" s="58">
        <v>1600</v>
      </c>
      <c r="C44" s="57">
        <f t="shared" ref="C44:AO44" si="26">$F$5/(3600*(C13/1000)*($B$44/1000))</f>
        <v>1.5</v>
      </c>
      <c r="D44" s="59">
        <f t="shared" si="26"/>
        <v>1</v>
      </c>
      <c r="E44" s="59">
        <f t="shared" si="26"/>
        <v>0.75</v>
      </c>
      <c r="F44" s="59">
        <f t="shared" si="26"/>
        <v>0.6</v>
      </c>
      <c r="G44" s="59">
        <f t="shared" si="26"/>
        <v>0.5</v>
      </c>
      <c r="H44" s="59">
        <f t="shared" si="26"/>
        <v>0.42857142857142855</v>
      </c>
      <c r="I44" s="59">
        <f t="shared" si="26"/>
        <v>0.375</v>
      </c>
      <c r="J44" s="59">
        <f t="shared" si="26"/>
        <v>0.33333333333333331</v>
      </c>
      <c r="K44" s="59">
        <f t="shared" si="26"/>
        <v>0.3</v>
      </c>
      <c r="L44" s="59">
        <f t="shared" si="26"/>
        <v>0.27272727272727271</v>
      </c>
      <c r="M44" s="59">
        <f t="shared" si="26"/>
        <v>0.25</v>
      </c>
      <c r="N44" s="59">
        <f t="shared" si="26"/>
        <v>0.23076923076923078</v>
      </c>
      <c r="O44" s="59">
        <f t="shared" si="26"/>
        <v>0.21428571428571427</v>
      </c>
      <c r="P44" s="59">
        <f t="shared" si="26"/>
        <v>0.2</v>
      </c>
      <c r="Q44" s="59">
        <f t="shared" si="26"/>
        <v>0.1875</v>
      </c>
      <c r="R44" s="59">
        <f t="shared" si="26"/>
        <v>0.17647058823529413</v>
      </c>
      <c r="S44" s="59">
        <f t="shared" si="26"/>
        <v>0.16666666666666666</v>
      </c>
      <c r="T44" s="59">
        <f t="shared" si="26"/>
        <v>0.15789473684210525</v>
      </c>
      <c r="U44" s="59">
        <f t="shared" si="26"/>
        <v>0.15</v>
      </c>
      <c r="V44" s="59">
        <f t="shared" si="26"/>
        <v>0.14285714285714285</v>
      </c>
      <c r="W44" s="59">
        <f t="shared" si="26"/>
        <v>0.13636363636363635</v>
      </c>
      <c r="X44" s="59">
        <f t="shared" si="26"/>
        <v>0.13043478260869565</v>
      </c>
      <c r="Y44" s="59">
        <f t="shared" si="26"/>
        <v>0.125</v>
      </c>
      <c r="Z44" s="59">
        <f t="shared" si="26"/>
        <v>0.12</v>
      </c>
      <c r="AA44" s="59">
        <f t="shared" si="26"/>
        <v>0.11538461538461539</v>
      </c>
      <c r="AB44" s="59">
        <f t="shared" si="26"/>
        <v>0.1111111111111111</v>
      </c>
      <c r="AC44" s="59">
        <f t="shared" si="26"/>
        <v>0.10714285714285714</v>
      </c>
      <c r="AD44" s="59">
        <f t="shared" si="26"/>
        <v>0.10344827586206896</v>
      </c>
      <c r="AE44" s="59">
        <f t="shared" si="26"/>
        <v>0.1</v>
      </c>
      <c r="AF44" s="59">
        <f t="shared" si="26"/>
        <v>9.6774193548387094E-2</v>
      </c>
      <c r="AG44" s="59">
        <f t="shared" si="26"/>
        <v>9.375E-2</v>
      </c>
      <c r="AH44" s="59">
        <f t="shared" si="26"/>
        <v>9.0909090909090912E-2</v>
      </c>
      <c r="AI44" s="59">
        <f t="shared" si="26"/>
        <v>8.8235294117647065E-2</v>
      </c>
      <c r="AJ44" s="59">
        <f t="shared" si="26"/>
        <v>8.5714285714285715E-2</v>
      </c>
      <c r="AK44" s="59">
        <f t="shared" si="26"/>
        <v>8.3333333333333329E-2</v>
      </c>
      <c r="AL44" s="59">
        <f t="shared" si="26"/>
        <v>8.1081081081081086E-2</v>
      </c>
      <c r="AM44" s="59">
        <f t="shared" si="26"/>
        <v>7.8947368421052627E-2</v>
      </c>
      <c r="AN44" s="59">
        <f t="shared" si="26"/>
        <v>7.6923076923076927E-2</v>
      </c>
      <c r="AO44" s="59">
        <f t="shared" si="26"/>
        <v>7.4999999999999997E-2</v>
      </c>
    </row>
    <row r="45" spans="2:41" x14ac:dyDescent="0.25">
      <c r="B45" s="58">
        <v>1650</v>
      </c>
      <c r="C45" s="57">
        <f t="shared" ref="C45:AO45" si="27">$F$5/(3600*(C13/1000)*($B$45/1000))</f>
        <v>1.4545454545454546</v>
      </c>
      <c r="D45" s="59">
        <f t="shared" si="27"/>
        <v>0.96969696969696972</v>
      </c>
      <c r="E45" s="59">
        <f t="shared" si="27"/>
        <v>0.72727272727272729</v>
      </c>
      <c r="F45" s="59">
        <f t="shared" si="27"/>
        <v>0.58181818181818179</v>
      </c>
      <c r="G45" s="59">
        <f t="shared" si="27"/>
        <v>0.48484848484848486</v>
      </c>
      <c r="H45" s="59">
        <f t="shared" si="27"/>
        <v>0.41558441558441561</v>
      </c>
      <c r="I45" s="59">
        <f t="shared" si="27"/>
        <v>0.36363636363636365</v>
      </c>
      <c r="J45" s="59">
        <f t="shared" si="27"/>
        <v>0.32323232323232326</v>
      </c>
      <c r="K45" s="59">
        <f t="shared" si="27"/>
        <v>0.29090909090909089</v>
      </c>
      <c r="L45" s="59">
        <f t="shared" si="27"/>
        <v>0.26446280991735538</v>
      </c>
      <c r="M45" s="59">
        <f t="shared" si="27"/>
        <v>0.24242424242424243</v>
      </c>
      <c r="N45" s="59">
        <f t="shared" si="27"/>
        <v>0.22377622377622378</v>
      </c>
      <c r="O45" s="59">
        <f t="shared" si="27"/>
        <v>0.20779220779220781</v>
      </c>
      <c r="P45" s="59">
        <f t="shared" si="27"/>
        <v>0.19393939393939394</v>
      </c>
      <c r="Q45" s="59">
        <f t="shared" si="27"/>
        <v>0.18181818181818182</v>
      </c>
      <c r="R45" s="59">
        <f t="shared" si="27"/>
        <v>0.17112299465240641</v>
      </c>
      <c r="S45" s="59">
        <f t="shared" si="27"/>
        <v>0.16161616161616163</v>
      </c>
      <c r="T45" s="59">
        <f t="shared" si="27"/>
        <v>0.15311004784688995</v>
      </c>
      <c r="U45" s="59">
        <f t="shared" si="27"/>
        <v>0.14545454545454545</v>
      </c>
      <c r="V45" s="59">
        <f t="shared" si="27"/>
        <v>0.13852813852813853</v>
      </c>
      <c r="W45" s="59">
        <f t="shared" si="27"/>
        <v>0.13223140495867769</v>
      </c>
      <c r="X45" s="59">
        <f t="shared" si="27"/>
        <v>0.12648221343873517</v>
      </c>
      <c r="Y45" s="59">
        <f t="shared" si="27"/>
        <v>0.12121212121212122</v>
      </c>
      <c r="Z45" s="59">
        <f t="shared" si="27"/>
        <v>0.11636363636363636</v>
      </c>
      <c r="AA45" s="59">
        <f t="shared" si="27"/>
        <v>0.11188811188811189</v>
      </c>
      <c r="AB45" s="59">
        <f t="shared" si="27"/>
        <v>0.10774410774410774</v>
      </c>
      <c r="AC45" s="59">
        <f t="shared" si="27"/>
        <v>0.1038961038961039</v>
      </c>
      <c r="AD45" s="59">
        <f t="shared" si="27"/>
        <v>0.10031347962382445</v>
      </c>
      <c r="AE45" s="59">
        <f t="shared" si="27"/>
        <v>9.696969696969697E-2</v>
      </c>
      <c r="AF45" s="59">
        <f t="shared" si="27"/>
        <v>9.3841642228739003E-2</v>
      </c>
      <c r="AG45" s="59">
        <f t="shared" si="27"/>
        <v>9.0909090909090912E-2</v>
      </c>
      <c r="AH45" s="59">
        <f t="shared" si="27"/>
        <v>8.8154269972451793E-2</v>
      </c>
      <c r="AI45" s="59">
        <f t="shared" si="27"/>
        <v>8.5561497326203204E-2</v>
      </c>
      <c r="AJ45" s="59">
        <f t="shared" si="27"/>
        <v>8.3116883116883117E-2</v>
      </c>
      <c r="AK45" s="59">
        <f t="shared" si="27"/>
        <v>8.0808080808080815E-2</v>
      </c>
      <c r="AL45" s="59">
        <f t="shared" si="27"/>
        <v>7.8624078624078622E-2</v>
      </c>
      <c r="AM45" s="59">
        <f t="shared" si="27"/>
        <v>7.6555023923444973E-2</v>
      </c>
      <c r="AN45" s="59">
        <f t="shared" si="27"/>
        <v>7.4592074592074592E-2</v>
      </c>
      <c r="AO45" s="59">
        <f t="shared" si="27"/>
        <v>7.2727272727272724E-2</v>
      </c>
    </row>
    <row r="46" spans="2:41" x14ac:dyDescent="0.25">
      <c r="B46" s="58">
        <v>1700</v>
      </c>
      <c r="C46" s="57">
        <f t="shared" ref="C46:AO46" si="28">$F$5/(3600*(C13/1000)*($B$46/1000))</f>
        <v>1.411764705882353</v>
      </c>
      <c r="D46" s="59">
        <f t="shared" si="28"/>
        <v>0.94117647058823528</v>
      </c>
      <c r="E46" s="59">
        <f t="shared" si="28"/>
        <v>0.70588235294117652</v>
      </c>
      <c r="F46" s="59">
        <f t="shared" si="28"/>
        <v>0.56470588235294117</v>
      </c>
      <c r="G46" s="59">
        <f t="shared" si="28"/>
        <v>0.47058823529411764</v>
      </c>
      <c r="H46" s="59">
        <f t="shared" si="28"/>
        <v>0.40336134453781514</v>
      </c>
      <c r="I46" s="59">
        <f t="shared" si="28"/>
        <v>0.35294117647058826</v>
      </c>
      <c r="J46" s="59">
        <f t="shared" si="28"/>
        <v>0.31372549019607843</v>
      </c>
      <c r="K46" s="59">
        <f t="shared" si="28"/>
        <v>0.28235294117647058</v>
      </c>
      <c r="L46" s="59">
        <f t="shared" si="28"/>
        <v>0.2566844919786096</v>
      </c>
      <c r="M46" s="59">
        <f t="shared" si="28"/>
        <v>0.23529411764705882</v>
      </c>
      <c r="N46" s="59">
        <f t="shared" si="28"/>
        <v>0.21719457013574661</v>
      </c>
      <c r="O46" s="59">
        <f t="shared" si="28"/>
        <v>0.20168067226890757</v>
      </c>
      <c r="P46" s="59">
        <f t="shared" si="28"/>
        <v>0.18823529411764706</v>
      </c>
      <c r="Q46" s="59">
        <f t="shared" si="28"/>
        <v>0.17647058823529413</v>
      </c>
      <c r="R46" s="59">
        <f t="shared" si="28"/>
        <v>0.16608996539792387</v>
      </c>
      <c r="S46" s="59">
        <f t="shared" si="28"/>
        <v>0.15686274509803921</v>
      </c>
      <c r="T46" s="59">
        <f t="shared" si="28"/>
        <v>0.14860681114551083</v>
      </c>
      <c r="U46" s="59">
        <f t="shared" si="28"/>
        <v>0.14117647058823529</v>
      </c>
      <c r="V46" s="59">
        <f t="shared" si="28"/>
        <v>0.13445378151260504</v>
      </c>
      <c r="W46" s="59">
        <f t="shared" si="28"/>
        <v>0.1283422459893048</v>
      </c>
      <c r="X46" s="59">
        <f t="shared" si="28"/>
        <v>0.12276214833759591</v>
      </c>
      <c r="Y46" s="59">
        <f t="shared" si="28"/>
        <v>0.11764705882352941</v>
      </c>
      <c r="Z46" s="59">
        <f t="shared" si="28"/>
        <v>0.11294117647058824</v>
      </c>
      <c r="AA46" s="59">
        <f t="shared" si="28"/>
        <v>0.10859728506787331</v>
      </c>
      <c r="AB46" s="59">
        <f t="shared" si="28"/>
        <v>0.10457516339869281</v>
      </c>
      <c r="AC46" s="59">
        <f t="shared" si="28"/>
        <v>0.10084033613445378</v>
      </c>
      <c r="AD46" s="59">
        <f t="shared" si="28"/>
        <v>9.7363083164300201E-2</v>
      </c>
      <c r="AE46" s="59">
        <f t="shared" si="28"/>
        <v>9.4117647058823528E-2</v>
      </c>
      <c r="AF46" s="59">
        <f t="shared" si="28"/>
        <v>9.1081593927893736E-2</v>
      </c>
      <c r="AG46" s="59">
        <f t="shared" si="28"/>
        <v>8.8235294117647065E-2</v>
      </c>
      <c r="AH46" s="59">
        <f t="shared" si="28"/>
        <v>8.5561497326203204E-2</v>
      </c>
      <c r="AI46" s="59">
        <f t="shared" si="28"/>
        <v>8.3044982698961933E-2</v>
      </c>
      <c r="AJ46" s="59">
        <f t="shared" si="28"/>
        <v>8.067226890756303E-2</v>
      </c>
      <c r="AK46" s="59">
        <f t="shared" si="28"/>
        <v>7.8431372549019607E-2</v>
      </c>
      <c r="AL46" s="59">
        <f t="shared" si="28"/>
        <v>7.6311605723370424E-2</v>
      </c>
      <c r="AM46" s="59">
        <f t="shared" si="28"/>
        <v>7.4303405572755415E-2</v>
      </c>
      <c r="AN46" s="59">
        <f t="shared" si="28"/>
        <v>7.2398190045248875E-2</v>
      </c>
      <c r="AO46" s="59">
        <f t="shared" si="28"/>
        <v>7.0588235294117646E-2</v>
      </c>
    </row>
    <row r="47" spans="2:41" x14ac:dyDescent="0.25">
      <c r="B47" s="58">
        <v>1750</v>
      </c>
      <c r="C47" s="57">
        <f t="shared" ref="C47:AO47" si="29">$F$5/(3600*(C13/1000)*($B$47/1000))</f>
        <v>1.3714285714285714</v>
      </c>
      <c r="D47" s="59">
        <f t="shared" si="29"/>
        <v>0.91428571428571426</v>
      </c>
      <c r="E47" s="59">
        <f t="shared" si="29"/>
        <v>0.68571428571428572</v>
      </c>
      <c r="F47" s="59">
        <f t="shared" si="29"/>
        <v>0.5485714285714286</v>
      </c>
      <c r="G47" s="59">
        <f t="shared" si="29"/>
        <v>0.45714285714285713</v>
      </c>
      <c r="H47" s="59">
        <f t="shared" si="29"/>
        <v>0.39183673469387753</v>
      </c>
      <c r="I47" s="59">
        <f t="shared" si="29"/>
        <v>0.34285714285714286</v>
      </c>
      <c r="J47" s="59">
        <f t="shared" si="29"/>
        <v>0.30476190476190479</v>
      </c>
      <c r="K47" s="59">
        <f t="shared" si="29"/>
        <v>0.2742857142857143</v>
      </c>
      <c r="L47" s="59">
        <f t="shared" si="29"/>
        <v>0.24935064935064932</v>
      </c>
      <c r="M47" s="59">
        <f t="shared" si="29"/>
        <v>0.22857142857142856</v>
      </c>
      <c r="N47" s="59">
        <f t="shared" si="29"/>
        <v>0.21098901098901099</v>
      </c>
      <c r="O47" s="59">
        <f t="shared" si="29"/>
        <v>0.19591836734693877</v>
      </c>
      <c r="P47" s="59">
        <f t="shared" si="29"/>
        <v>0.18285714285714286</v>
      </c>
      <c r="Q47" s="59">
        <f t="shared" si="29"/>
        <v>0.17142857142857143</v>
      </c>
      <c r="R47" s="59">
        <f t="shared" si="29"/>
        <v>0.16134453781512606</v>
      </c>
      <c r="S47" s="59">
        <f t="shared" si="29"/>
        <v>0.15238095238095239</v>
      </c>
      <c r="T47" s="59">
        <f t="shared" si="29"/>
        <v>0.14436090225563911</v>
      </c>
      <c r="U47" s="59">
        <f t="shared" si="29"/>
        <v>0.13714285714285715</v>
      </c>
      <c r="V47" s="59">
        <f t="shared" si="29"/>
        <v>0.1306122448979592</v>
      </c>
      <c r="W47" s="59">
        <f t="shared" si="29"/>
        <v>0.12467532467532466</v>
      </c>
      <c r="X47" s="59">
        <f t="shared" si="29"/>
        <v>0.11925465838509317</v>
      </c>
      <c r="Y47" s="59">
        <f t="shared" si="29"/>
        <v>0.11428571428571428</v>
      </c>
      <c r="Z47" s="59">
        <f t="shared" si="29"/>
        <v>0.10971428571428571</v>
      </c>
      <c r="AA47" s="59">
        <f t="shared" si="29"/>
        <v>0.10549450549450549</v>
      </c>
      <c r="AB47" s="59">
        <f t="shared" si="29"/>
        <v>0.10158730158730159</v>
      </c>
      <c r="AC47" s="59">
        <f t="shared" si="29"/>
        <v>9.7959183673469383E-2</v>
      </c>
      <c r="AD47" s="59">
        <f t="shared" si="29"/>
        <v>9.4581280788177347E-2</v>
      </c>
      <c r="AE47" s="59">
        <f t="shared" si="29"/>
        <v>9.1428571428571428E-2</v>
      </c>
      <c r="AF47" s="59">
        <f t="shared" si="29"/>
        <v>8.847926267281106E-2</v>
      </c>
      <c r="AG47" s="59">
        <f t="shared" si="29"/>
        <v>8.5714285714285715E-2</v>
      </c>
      <c r="AH47" s="59">
        <f t="shared" si="29"/>
        <v>8.3116883116883117E-2</v>
      </c>
      <c r="AI47" s="59">
        <f t="shared" si="29"/>
        <v>8.067226890756303E-2</v>
      </c>
      <c r="AJ47" s="59">
        <f t="shared" si="29"/>
        <v>7.8367346938775506E-2</v>
      </c>
      <c r="AK47" s="59">
        <f t="shared" si="29"/>
        <v>7.6190476190476197E-2</v>
      </c>
      <c r="AL47" s="59">
        <f t="shared" si="29"/>
        <v>7.4131274131274127E-2</v>
      </c>
      <c r="AM47" s="59">
        <f t="shared" si="29"/>
        <v>7.2180451127819553E-2</v>
      </c>
      <c r="AN47" s="59">
        <f t="shared" si="29"/>
        <v>7.032967032967033E-2</v>
      </c>
      <c r="AO47" s="59">
        <f t="shared" si="29"/>
        <v>6.8571428571428575E-2</v>
      </c>
    </row>
    <row r="48" spans="2:41" x14ac:dyDescent="0.25">
      <c r="B48" s="58">
        <v>1800</v>
      </c>
      <c r="C48" s="57">
        <f t="shared" ref="C48:AO48" si="30">$F$5/(3600*(C13/1000)*($B$48/1000))</f>
        <v>1.3333333333333333</v>
      </c>
      <c r="D48" s="59">
        <f t="shared" si="30"/>
        <v>0.88888888888888884</v>
      </c>
      <c r="E48" s="59">
        <f t="shared" si="30"/>
        <v>0.66666666666666663</v>
      </c>
      <c r="F48" s="59">
        <f t="shared" si="30"/>
        <v>0.53333333333333333</v>
      </c>
      <c r="G48" s="59">
        <f t="shared" si="30"/>
        <v>0.44444444444444442</v>
      </c>
      <c r="H48" s="59">
        <f t="shared" si="30"/>
        <v>0.38095238095238093</v>
      </c>
      <c r="I48" s="59">
        <f t="shared" si="30"/>
        <v>0.33333333333333331</v>
      </c>
      <c r="J48" s="59">
        <f t="shared" si="30"/>
        <v>0.29629629629629628</v>
      </c>
      <c r="K48" s="59">
        <f t="shared" si="30"/>
        <v>0.26666666666666666</v>
      </c>
      <c r="L48" s="59">
        <f t="shared" si="30"/>
        <v>0.2424242424242424</v>
      </c>
      <c r="M48" s="59">
        <f t="shared" si="30"/>
        <v>0.22222222222222221</v>
      </c>
      <c r="N48" s="59">
        <f t="shared" si="30"/>
        <v>0.20512820512820512</v>
      </c>
      <c r="O48" s="59">
        <f t="shared" si="30"/>
        <v>0.19047619047619047</v>
      </c>
      <c r="P48" s="59">
        <f t="shared" si="30"/>
        <v>0.17777777777777778</v>
      </c>
      <c r="Q48" s="59">
        <f t="shared" si="30"/>
        <v>0.16666666666666666</v>
      </c>
      <c r="R48" s="59">
        <f t="shared" si="30"/>
        <v>0.15686274509803921</v>
      </c>
      <c r="S48" s="59">
        <f t="shared" si="30"/>
        <v>0.14814814814814814</v>
      </c>
      <c r="T48" s="59">
        <f t="shared" si="30"/>
        <v>0.14035087719298245</v>
      </c>
      <c r="U48" s="59">
        <f t="shared" si="30"/>
        <v>0.13333333333333333</v>
      </c>
      <c r="V48" s="59">
        <f t="shared" si="30"/>
        <v>0.12698412698412698</v>
      </c>
      <c r="W48" s="59">
        <f t="shared" si="30"/>
        <v>0.1212121212121212</v>
      </c>
      <c r="X48" s="59">
        <f t="shared" si="30"/>
        <v>0.11594202898550725</v>
      </c>
      <c r="Y48" s="59">
        <f t="shared" si="30"/>
        <v>0.1111111111111111</v>
      </c>
      <c r="Z48" s="59">
        <f t="shared" si="30"/>
        <v>0.10666666666666667</v>
      </c>
      <c r="AA48" s="59">
        <f t="shared" si="30"/>
        <v>0.10256410256410256</v>
      </c>
      <c r="AB48" s="59">
        <f t="shared" si="30"/>
        <v>9.8765432098765427E-2</v>
      </c>
      <c r="AC48" s="59">
        <f t="shared" si="30"/>
        <v>9.5238095238095233E-2</v>
      </c>
      <c r="AD48" s="59">
        <f t="shared" si="30"/>
        <v>9.1954022988505746E-2</v>
      </c>
      <c r="AE48" s="59">
        <f t="shared" si="30"/>
        <v>8.8888888888888892E-2</v>
      </c>
      <c r="AF48" s="59">
        <f t="shared" si="30"/>
        <v>8.6021505376344093E-2</v>
      </c>
      <c r="AG48" s="59">
        <f t="shared" si="30"/>
        <v>8.3333333333333329E-2</v>
      </c>
      <c r="AH48" s="59">
        <f t="shared" si="30"/>
        <v>8.0808080808080815E-2</v>
      </c>
      <c r="AI48" s="59">
        <f t="shared" si="30"/>
        <v>7.8431372549019607E-2</v>
      </c>
      <c r="AJ48" s="59">
        <f t="shared" si="30"/>
        <v>7.6190476190476197E-2</v>
      </c>
      <c r="AK48" s="59">
        <f t="shared" si="30"/>
        <v>7.407407407407407E-2</v>
      </c>
      <c r="AL48" s="59">
        <f t="shared" si="30"/>
        <v>7.2072072072072071E-2</v>
      </c>
      <c r="AM48" s="59">
        <f t="shared" si="30"/>
        <v>7.0175438596491224E-2</v>
      </c>
      <c r="AN48" s="59">
        <f t="shared" si="30"/>
        <v>6.8376068376068383E-2</v>
      </c>
      <c r="AO48" s="59">
        <f t="shared" si="30"/>
        <v>6.6666666666666666E-2</v>
      </c>
    </row>
    <row r="49" spans="2:41" x14ac:dyDescent="0.25">
      <c r="B49" s="58">
        <v>1850</v>
      </c>
      <c r="C49" s="57">
        <f t="shared" ref="C49:AO49" si="31">$F$5/(3600*(C13/1000)*($B$49/1000))</f>
        <v>1.2972972972972974</v>
      </c>
      <c r="D49" s="59">
        <f t="shared" si="31"/>
        <v>0.86486486486486491</v>
      </c>
      <c r="E49" s="59">
        <f t="shared" si="31"/>
        <v>0.64864864864864868</v>
      </c>
      <c r="F49" s="59">
        <f t="shared" si="31"/>
        <v>0.51891891891891895</v>
      </c>
      <c r="G49" s="59">
        <f t="shared" si="31"/>
        <v>0.43243243243243246</v>
      </c>
      <c r="H49" s="59">
        <f t="shared" si="31"/>
        <v>0.37065637065637064</v>
      </c>
      <c r="I49" s="59">
        <f t="shared" si="31"/>
        <v>0.32432432432432434</v>
      </c>
      <c r="J49" s="59">
        <f t="shared" si="31"/>
        <v>0.28828828828828829</v>
      </c>
      <c r="K49" s="59">
        <f t="shared" si="31"/>
        <v>0.25945945945945947</v>
      </c>
      <c r="L49" s="59">
        <f t="shared" si="31"/>
        <v>0.23587223587223585</v>
      </c>
      <c r="M49" s="59">
        <f t="shared" si="31"/>
        <v>0.21621621621621623</v>
      </c>
      <c r="N49" s="59">
        <f t="shared" si="31"/>
        <v>0.1995841995841996</v>
      </c>
      <c r="O49" s="59">
        <f t="shared" si="31"/>
        <v>0.18532818532818532</v>
      </c>
      <c r="P49" s="59">
        <f t="shared" si="31"/>
        <v>0.17297297297297298</v>
      </c>
      <c r="Q49" s="59">
        <f t="shared" si="31"/>
        <v>0.16216216216216217</v>
      </c>
      <c r="R49" s="59">
        <f t="shared" si="31"/>
        <v>0.15262321144674085</v>
      </c>
      <c r="S49" s="59">
        <f t="shared" si="31"/>
        <v>0.14414414414414414</v>
      </c>
      <c r="T49" s="59">
        <f t="shared" si="31"/>
        <v>0.13655761024182078</v>
      </c>
      <c r="U49" s="59">
        <f t="shared" si="31"/>
        <v>0.12972972972972974</v>
      </c>
      <c r="V49" s="59">
        <f t="shared" si="31"/>
        <v>0.12355212355212356</v>
      </c>
      <c r="W49" s="59">
        <f t="shared" si="31"/>
        <v>0.11793611793611793</v>
      </c>
      <c r="X49" s="59">
        <f t="shared" si="31"/>
        <v>0.11280846063454759</v>
      </c>
      <c r="Y49" s="59">
        <f t="shared" si="31"/>
        <v>0.10810810810810811</v>
      </c>
      <c r="Z49" s="59">
        <f t="shared" si="31"/>
        <v>0.10378378378378378</v>
      </c>
      <c r="AA49" s="59">
        <f t="shared" si="31"/>
        <v>9.9792099792099798E-2</v>
      </c>
      <c r="AB49" s="59">
        <f t="shared" si="31"/>
        <v>9.6096096096096095E-2</v>
      </c>
      <c r="AC49" s="59">
        <f t="shared" si="31"/>
        <v>9.2664092664092659E-2</v>
      </c>
      <c r="AD49" s="59">
        <f t="shared" si="31"/>
        <v>8.9468779123951542E-2</v>
      </c>
      <c r="AE49" s="59">
        <f t="shared" si="31"/>
        <v>8.6486486486486491E-2</v>
      </c>
      <c r="AF49" s="59">
        <f t="shared" si="31"/>
        <v>8.3696599825632087E-2</v>
      </c>
      <c r="AG49" s="59">
        <f t="shared" si="31"/>
        <v>8.1081081081081086E-2</v>
      </c>
      <c r="AH49" s="59">
        <f t="shared" si="31"/>
        <v>7.8624078624078622E-2</v>
      </c>
      <c r="AI49" s="59">
        <f t="shared" si="31"/>
        <v>7.6311605723370424E-2</v>
      </c>
      <c r="AJ49" s="59">
        <f t="shared" si="31"/>
        <v>7.4131274131274127E-2</v>
      </c>
      <c r="AK49" s="59">
        <f t="shared" si="31"/>
        <v>7.2072072072072071E-2</v>
      </c>
      <c r="AL49" s="59">
        <f t="shared" si="31"/>
        <v>7.0124178232286338E-2</v>
      </c>
      <c r="AM49" s="59">
        <f t="shared" si="31"/>
        <v>6.8278805120910391E-2</v>
      </c>
      <c r="AN49" s="59">
        <f t="shared" si="31"/>
        <v>6.6528066528066532E-2</v>
      </c>
      <c r="AO49" s="59">
        <f t="shared" si="31"/>
        <v>6.4864864864864868E-2</v>
      </c>
    </row>
    <row r="50" spans="2:41" x14ac:dyDescent="0.25">
      <c r="B50" s="58">
        <v>1900</v>
      </c>
      <c r="C50" s="57">
        <f t="shared" ref="C50:AO50" si="32">$F$5/(3600*(C13/1000)*($B$50/1000))</f>
        <v>1.263157894736842</v>
      </c>
      <c r="D50" s="59">
        <f t="shared" si="32"/>
        <v>0.84210526315789469</v>
      </c>
      <c r="E50" s="59">
        <f t="shared" si="32"/>
        <v>0.63157894736842102</v>
      </c>
      <c r="F50" s="59">
        <f t="shared" si="32"/>
        <v>0.50526315789473686</v>
      </c>
      <c r="G50" s="59">
        <f t="shared" si="32"/>
        <v>0.42105263157894735</v>
      </c>
      <c r="H50" s="59">
        <f t="shared" si="32"/>
        <v>0.36090225563909772</v>
      </c>
      <c r="I50" s="59">
        <f t="shared" si="32"/>
        <v>0.31578947368421051</v>
      </c>
      <c r="J50" s="59">
        <f t="shared" si="32"/>
        <v>0.2807017543859649</v>
      </c>
      <c r="K50" s="59">
        <f t="shared" si="32"/>
        <v>0.25263157894736843</v>
      </c>
      <c r="L50" s="59">
        <f t="shared" si="32"/>
        <v>0.22966507177033491</v>
      </c>
      <c r="M50" s="59">
        <f t="shared" si="32"/>
        <v>0.21052631578947367</v>
      </c>
      <c r="N50" s="59">
        <f t="shared" si="32"/>
        <v>0.19433198380566802</v>
      </c>
      <c r="O50" s="59">
        <f t="shared" si="32"/>
        <v>0.18045112781954886</v>
      </c>
      <c r="P50" s="59">
        <f t="shared" si="32"/>
        <v>0.16842105263157894</v>
      </c>
      <c r="Q50" s="59">
        <f t="shared" si="32"/>
        <v>0.15789473684210525</v>
      </c>
      <c r="R50" s="59">
        <f t="shared" si="32"/>
        <v>0.14860681114551083</v>
      </c>
      <c r="S50" s="59">
        <f t="shared" si="32"/>
        <v>0.14035087719298245</v>
      </c>
      <c r="T50" s="59">
        <f t="shared" si="32"/>
        <v>0.1329639889196676</v>
      </c>
      <c r="U50" s="59">
        <f t="shared" si="32"/>
        <v>0.12631578947368421</v>
      </c>
      <c r="V50" s="59">
        <f t="shared" si="32"/>
        <v>0.12030075187969924</v>
      </c>
      <c r="W50" s="59">
        <f t="shared" si="32"/>
        <v>0.11483253588516745</v>
      </c>
      <c r="X50" s="59">
        <f t="shared" si="32"/>
        <v>0.10983981693363844</v>
      </c>
      <c r="Y50" s="59">
        <f t="shared" si="32"/>
        <v>0.10526315789473684</v>
      </c>
      <c r="Z50" s="59">
        <f t="shared" si="32"/>
        <v>0.10105263157894737</v>
      </c>
      <c r="AA50" s="59">
        <f t="shared" si="32"/>
        <v>9.7165991902834009E-2</v>
      </c>
      <c r="AB50" s="59">
        <f t="shared" si="32"/>
        <v>9.3567251461988299E-2</v>
      </c>
      <c r="AC50" s="59">
        <f t="shared" si="32"/>
        <v>9.0225563909774431E-2</v>
      </c>
      <c r="AD50" s="59">
        <f t="shared" si="32"/>
        <v>8.7114337568058073E-2</v>
      </c>
      <c r="AE50" s="59">
        <f t="shared" si="32"/>
        <v>8.4210526315789472E-2</v>
      </c>
      <c r="AF50" s="59">
        <f t="shared" si="32"/>
        <v>8.1494057724957561E-2</v>
      </c>
      <c r="AG50" s="59">
        <f t="shared" si="32"/>
        <v>7.8947368421052627E-2</v>
      </c>
      <c r="AH50" s="59">
        <f t="shared" si="32"/>
        <v>7.6555023923444973E-2</v>
      </c>
      <c r="AI50" s="59">
        <f t="shared" si="32"/>
        <v>7.4303405572755415E-2</v>
      </c>
      <c r="AJ50" s="59">
        <f t="shared" si="32"/>
        <v>7.2180451127819553E-2</v>
      </c>
      <c r="AK50" s="59">
        <f t="shared" si="32"/>
        <v>7.0175438596491224E-2</v>
      </c>
      <c r="AL50" s="59">
        <f t="shared" si="32"/>
        <v>6.8278805120910391E-2</v>
      </c>
      <c r="AM50" s="59">
        <f t="shared" si="32"/>
        <v>6.6481994459833799E-2</v>
      </c>
      <c r="AN50" s="59">
        <f t="shared" si="32"/>
        <v>6.4777327935222673E-2</v>
      </c>
      <c r="AO50" s="59">
        <f t="shared" si="32"/>
        <v>6.3157894736842107E-2</v>
      </c>
    </row>
    <row r="51" spans="2:41" x14ac:dyDescent="0.25">
      <c r="B51" s="58">
        <v>1950</v>
      </c>
      <c r="C51" s="57">
        <f t="shared" ref="C51:AO51" si="33">$F$5/(3600*(C13/1000)*($B$51/1000))</f>
        <v>1.2307692307692308</v>
      </c>
      <c r="D51" s="59">
        <f t="shared" si="33"/>
        <v>0.82051282051282048</v>
      </c>
      <c r="E51" s="59">
        <f t="shared" si="33"/>
        <v>0.61538461538461542</v>
      </c>
      <c r="F51" s="59">
        <f t="shared" si="33"/>
        <v>0.49230769230769234</v>
      </c>
      <c r="G51" s="59">
        <f t="shared" si="33"/>
        <v>0.41025641025641024</v>
      </c>
      <c r="H51" s="59">
        <f t="shared" si="33"/>
        <v>0.35164835164835168</v>
      </c>
      <c r="I51" s="59">
        <f t="shared" si="33"/>
        <v>0.30769230769230771</v>
      </c>
      <c r="J51" s="59">
        <f t="shared" si="33"/>
        <v>0.27350427350427353</v>
      </c>
      <c r="K51" s="59">
        <f t="shared" si="33"/>
        <v>0.24615384615384617</v>
      </c>
      <c r="L51" s="59">
        <f t="shared" si="33"/>
        <v>0.22377622377622375</v>
      </c>
      <c r="M51" s="59">
        <f t="shared" si="33"/>
        <v>0.20512820512820512</v>
      </c>
      <c r="N51" s="59">
        <f t="shared" si="33"/>
        <v>0.1893491124260355</v>
      </c>
      <c r="O51" s="59">
        <f t="shared" si="33"/>
        <v>0.17582417582417584</v>
      </c>
      <c r="P51" s="59">
        <f t="shared" si="33"/>
        <v>0.1641025641025641</v>
      </c>
      <c r="Q51" s="59">
        <f t="shared" si="33"/>
        <v>0.15384615384615385</v>
      </c>
      <c r="R51" s="59">
        <f t="shared" si="33"/>
        <v>0.14479638009049775</v>
      </c>
      <c r="S51" s="59">
        <f t="shared" si="33"/>
        <v>0.13675213675213677</v>
      </c>
      <c r="T51" s="59">
        <f t="shared" si="33"/>
        <v>0.12955465587044535</v>
      </c>
      <c r="U51" s="59">
        <f t="shared" si="33"/>
        <v>0.12307692307692308</v>
      </c>
      <c r="V51" s="59">
        <f t="shared" si="33"/>
        <v>0.11721611721611722</v>
      </c>
      <c r="W51" s="59">
        <f t="shared" si="33"/>
        <v>0.11188811188811187</v>
      </c>
      <c r="X51" s="59">
        <f t="shared" si="33"/>
        <v>0.10702341137123746</v>
      </c>
      <c r="Y51" s="59">
        <f t="shared" si="33"/>
        <v>0.10256410256410256</v>
      </c>
      <c r="Z51" s="59">
        <f t="shared" si="33"/>
        <v>9.8461538461538461E-2</v>
      </c>
      <c r="AA51" s="59">
        <f t="shared" si="33"/>
        <v>9.4674556213017749E-2</v>
      </c>
      <c r="AB51" s="59">
        <f t="shared" si="33"/>
        <v>9.1168091168091173E-2</v>
      </c>
      <c r="AC51" s="59">
        <f t="shared" si="33"/>
        <v>8.7912087912087919E-2</v>
      </c>
      <c r="AD51" s="59">
        <f t="shared" si="33"/>
        <v>8.4880636604774531E-2</v>
      </c>
      <c r="AE51" s="59">
        <f t="shared" si="33"/>
        <v>8.2051282051282051E-2</v>
      </c>
      <c r="AF51" s="59">
        <f t="shared" si="33"/>
        <v>7.9404466501240695E-2</v>
      </c>
      <c r="AG51" s="59">
        <f t="shared" si="33"/>
        <v>7.6923076923076927E-2</v>
      </c>
      <c r="AH51" s="59">
        <f t="shared" si="33"/>
        <v>7.4592074592074592E-2</v>
      </c>
      <c r="AI51" s="59">
        <f t="shared" si="33"/>
        <v>7.2398190045248875E-2</v>
      </c>
      <c r="AJ51" s="59">
        <f t="shared" si="33"/>
        <v>7.032967032967033E-2</v>
      </c>
      <c r="AK51" s="59">
        <f t="shared" si="33"/>
        <v>6.8376068376068383E-2</v>
      </c>
      <c r="AL51" s="59">
        <f t="shared" si="33"/>
        <v>6.6528066528066532E-2</v>
      </c>
      <c r="AM51" s="59">
        <f t="shared" si="33"/>
        <v>6.4777327935222673E-2</v>
      </c>
      <c r="AN51" s="59">
        <f t="shared" si="33"/>
        <v>6.3116370808678504E-2</v>
      </c>
      <c r="AO51" s="59">
        <f t="shared" si="33"/>
        <v>6.1538461538461542E-2</v>
      </c>
    </row>
    <row r="52" spans="2:41" x14ac:dyDescent="0.25">
      <c r="B52" s="58">
        <v>2000</v>
      </c>
      <c r="C52" s="57">
        <f t="shared" ref="C52:AO52" si="34">$F$5/(3600*(C13/1000)*($B$52/1000))</f>
        <v>1.2</v>
      </c>
      <c r="D52" s="59">
        <f t="shared" si="34"/>
        <v>0.8</v>
      </c>
      <c r="E52" s="59">
        <f t="shared" si="34"/>
        <v>0.6</v>
      </c>
      <c r="F52" s="59">
        <f t="shared" si="34"/>
        <v>0.48</v>
      </c>
      <c r="G52" s="59">
        <f t="shared" si="34"/>
        <v>0.4</v>
      </c>
      <c r="H52" s="59">
        <f t="shared" si="34"/>
        <v>0.34285714285714286</v>
      </c>
      <c r="I52" s="59">
        <f t="shared" si="34"/>
        <v>0.3</v>
      </c>
      <c r="J52" s="59">
        <f t="shared" si="34"/>
        <v>0.26666666666666666</v>
      </c>
      <c r="K52" s="59">
        <f t="shared" si="34"/>
        <v>0.24</v>
      </c>
      <c r="L52" s="59">
        <f t="shared" si="34"/>
        <v>0.21818181818181814</v>
      </c>
      <c r="M52" s="59">
        <f t="shared" si="34"/>
        <v>0.2</v>
      </c>
      <c r="N52" s="59">
        <f t="shared" si="34"/>
        <v>0.18461538461538463</v>
      </c>
      <c r="O52" s="59">
        <f t="shared" si="34"/>
        <v>0.17142857142857143</v>
      </c>
      <c r="P52" s="59">
        <f t="shared" si="34"/>
        <v>0.16</v>
      </c>
      <c r="Q52" s="59">
        <f t="shared" si="34"/>
        <v>0.15</v>
      </c>
      <c r="R52" s="59">
        <f t="shared" si="34"/>
        <v>0.14117647058823529</v>
      </c>
      <c r="S52" s="59">
        <f t="shared" si="34"/>
        <v>0.13333333333333333</v>
      </c>
      <c r="T52" s="59">
        <f t="shared" si="34"/>
        <v>0.12631578947368421</v>
      </c>
      <c r="U52" s="59">
        <f t="shared" si="34"/>
        <v>0.12</v>
      </c>
      <c r="V52" s="59">
        <f t="shared" si="34"/>
        <v>0.11428571428571428</v>
      </c>
      <c r="W52" s="59">
        <f t="shared" si="34"/>
        <v>0.10909090909090907</v>
      </c>
      <c r="X52" s="59">
        <f t="shared" si="34"/>
        <v>0.10434782608695652</v>
      </c>
      <c r="Y52" s="59">
        <f t="shared" si="34"/>
        <v>0.1</v>
      </c>
      <c r="Z52" s="59">
        <f t="shared" si="34"/>
        <v>9.6000000000000002E-2</v>
      </c>
      <c r="AA52" s="59">
        <f t="shared" si="34"/>
        <v>9.2307692307692313E-2</v>
      </c>
      <c r="AB52" s="59">
        <f t="shared" si="34"/>
        <v>8.8888888888888892E-2</v>
      </c>
      <c r="AC52" s="59">
        <f t="shared" si="34"/>
        <v>8.5714285714285715E-2</v>
      </c>
      <c r="AD52" s="59">
        <f t="shared" si="34"/>
        <v>8.2758620689655171E-2</v>
      </c>
      <c r="AE52" s="59">
        <f t="shared" si="34"/>
        <v>0.08</v>
      </c>
      <c r="AF52" s="59">
        <f t="shared" si="34"/>
        <v>7.7419354838709681E-2</v>
      </c>
      <c r="AG52" s="59">
        <f t="shared" si="34"/>
        <v>7.4999999999999997E-2</v>
      </c>
      <c r="AH52" s="59">
        <f t="shared" si="34"/>
        <v>7.2727272727272724E-2</v>
      </c>
      <c r="AI52" s="59">
        <f t="shared" si="34"/>
        <v>7.0588235294117646E-2</v>
      </c>
      <c r="AJ52" s="59">
        <f t="shared" si="34"/>
        <v>6.8571428571428575E-2</v>
      </c>
      <c r="AK52" s="59">
        <f t="shared" si="34"/>
        <v>6.6666666666666666E-2</v>
      </c>
      <c r="AL52" s="59">
        <f t="shared" si="34"/>
        <v>6.4864864864864868E-2</v>
      </c>
      <c r="AM52" s="59">
        <f t="shared" si="34"/>
        <v>6.3157894736842107E-2</v>
      </c>
      <c r="AN52" s="59">
        <f t="shared" si="34"/>
        <v>6.1538461538461542E-2</v>
      </c>
      <c r="AO52" s="59">
        <f t="shared" si="34"/>
        <v>0.06</v>
      </c>
    </row>
    <row r="53" spans="2:41" x14ac:dyDescent="0.25">
      <c r="B53" s="58">
        <v>2050</v>
      </c>
      <c r="C53" s="57">
        <f t="shared" ref="C53:AO53" si="35">$F$5/(3600*(C13/1000)*($B$53/1000))</f>
        <v>1.1707317073170733</v>
      </c>
      <c r="D53" s="57">
        <f t="shared" si="35"/>
        <v>0.78048780487804881</v>
      </c>
      <c r="E53" s="57">
        <f t="shared" si="35"/>
        <v>0.58536585365853666</v>
      </c>
      <c r="F53" s="57">
        <f t="shared" si="35"/>
        <v>0.46829268292682935</v>
      </c>
      <c r="G53" s="57">
        <f t="shared" si="35"/>
        <v>0.3902439024390244</v>
      </c>
      <c r="H53" s="57">
        <f t="shared" si="35"/>
        <v>0.33449477351916379</v>
      </c>
      <c r="I53" s="57">
        <f t="shared" si="35"/>
        <v>0.29268292682926833</v>
      </c>
      <c r="J53" s="57">
        <f t="shared" si="35"/>
        <v>0.26016260162601629</v>
      </c>
      <c r="K53" s="57">
        <f t="shared" si="35"/>
        <v>0.23414634146341468</v>
      </c>
      <c r="L53" s="57">
        <f t="shared" si="35"/>
        <v>0.21286031042128603</v>
      </c>
      <c r="M53" s="57">
        <f t="shared" si="35"/>
        <v>0.1951219512195122</v>
      </c>
      <c r="N53" s="57">
        <f t="shared" si="35"/>
        <v>0.1801125703564728</v>
      </c>
      <c r="O53" s="57">
        <f t="shared" si="35"/>
        <v>0.1672473867595819</v>
      </c>
      <c r="P53" s="57">
        <f t="shared" si="35"/>
        <v>0.15609756097560978</v>
      </c>
      <c r="Q53" s="57">
        <f t="shared" si="35"/>
        <v>0.14634146341463417</v>
      </c>
      <c r="R53" s="57">
        <f t="shared" si="35"/>
        <v>0.13773314203730275</v>
      </c>
      <c r="S53" s="57">
        <f t="shared" si="35"/>
        <v>0.13008130081300814</v>
      </c>
      <c r="T53" s="57">
        <f t="shared" si="35"/>
        <v>0.12323491655969193</v>
      </c>
      <c r="U53" s="57">
        <f t="shared" si="35"/>
        <v>0.11707317073170734</v>
      </c>
      <c r="V53" s="57">
        <f t="shared" si="35"/>
        <v>0.11149825783972127</v>
      </c>
      <c r="W53" s="57">
        <f t="shared" si="35"/>
        <v>0.10643015521064302</v>
      </c>
      <c r="X53" s="57">
        <f t="shared" si="35"/>
        <v>0.10180275715800637</v>
      </c>
      <c r="Y53" s="57">
        <f t="shared" si="35"/>
        <v>9.7560975609756101E-2</v>
      </c>
      <c r="Z53" s="57">
        <f t="shared" si="35"/>
        <v>9.3658536585365854E-2</v>
      </c>
      <c r="AA53" s="57">
        <f t="shared" si="35"/>
        <v>9.0056285178236398E-2</v>
      </c>
      <c r="AB53" s="57">
        <f t="shared" si="35"/>
        <v>8.6720867208672087E-2</v>
      </c>
      <c r="AC53" s="57">
        <f t="shared" si="35"/>
        <v>8.3623693379790948E-2</v>
      </c>
      <c r="AD53" s="57">
        <f t="shared" si="35"/>
        <v>8.0740117746005063E-2</v>
      </c>
      <c r="AE53" s="57">
        <f t="shared" si="35"/>
        <v>7.8048780487804892E-2</v>
      </c>
      <c r="AF53" s="57">
        <f t="shared" si="35"/>
        <v>7.5531077891424089E-2</v>
      </c>
      <c r="AG53" s="57">
        <f t="shared" si="35"/>
        <v>7.3170731707317083E-2</v>
      </c>
      <c r="AH53" s="57">
        <f t="shared" si="35"/>
        <v>7.0953436807095357E-2</v>
      </c>
      <c r="AI53" s="57">
        <f t="shared" si="35"/>
        <v>6.8866571018651374E-2</v>
      </c>
      <c r="AJ53" s="57">
        <f t="shared" si="35"/>
        <v>6.6898954703832766E-2</v>
      </c>
      <c r="AK53" s="57">
        <f t="shared" si="35"/>
        <v>6.5040650406504072E-2</v>
      </c>
      <c r="AL53" s="57">
        <f t="shared" si="35"/>
        <v>6.3282794990112065E-2</v>
      </c>
      <c r="AM53" s="57">
        <f t="shared" si="35"/>
        <v>6.1617458279845966E-2</v>
      </c>
      <c r="AN53" s="57">
        <f t="shared" si="35"/>
        <v>6.0037523452157605E-2</v>
      </c>
      <c r="AO53" s="57">
        <f t="shared" si="35"/>
        <v>5.8536585365853669E-2</v>
      </c>
    </row>
    <row r="54" spans="2:41" x14ac:dyDescent="0.25">
      <c r="B54" s="58">
        <v>2100</v>
      </c>
      <c r="C54" s="57">
        <f t="shared" ref="C54:AO54" si="36">$F$5/(3600*(C13/1000)*($B$54/1000))</f>
        <v>1.1428571428571428</v>
      </c>
      <c r="D54" s="57">
        <f t="shared" si="36"/>
        <v>0.76190476190476186</v>
      </c>
      <c r="E54" s="57">
        <f t="shared" si="36"/>
        <v>0.5714285714285714</v>
      </c>
      <c r="F54" s="57">
        <f t="shared" si="36"/>
        <v>0.45714285714285713</v>
      </c>
      <c r="G54" s="57">
        <f t="shared" si="36"/>
        <v>0.38095238095238093</v>
      </c>
      <c r="H54" s="57">
        <f t="shared" si="36"/>
        <v>0.32653061224489793</v>
      </c>
      <c r="I54" s="57">
        <f t="shared" si="36"/>
        <v>0.2857142857142857</v>
      </c>
      <c r="J54" s="57">
        <f t="shared" si="36"/>
        <v>0.25396825396825395</v>
      </c>
      <c r="K54" s="57">
        <f t="shared" si="36"/>
        <v>0.22857142857142856</v>
      </c>
      <c r="L54" s="57">
        <f t="shared" si="36"/>
        <v>0.20779220779220775</v>
      </c>
      <c r="M54" s="57">
        <f t="shared" si="36"/>
        <v>0.19047619047619047</v>
      </c>
      <c r="N54" s="57">
        <f t="shared" si="36"/>
        <v>0.17582417582417584</v>
      </c>
      <c r="O54" s="57">
        <f t="shared" si="36"/>
        <v>0.16326530612244897</v>
      </c>
      <c r="P54" s="57">
        <f t="shared" si="36"/>
        <v>0.15238095238095239</v>
      </c>
      <c r="Q54" s="57">
        <f t="shared" si="36"/>
        <v>0.14285714285714285</v>
      </c>
      <c r="R54" s="57">
        <f t="shared" si="36"/>
        <v>0.13445378151260504</v>
      </c>
      <c r="S54" s="57">
        <f t="shared" si="36"/>
        <v>0.12698412698412698</v>
      </c>
      <c r="T54" s="57">
        <f t="shared" si="36"/>
        <v>0.12030075187969924</v>
      </c>
      <c r="U54" s="57">
        <f t="shared" si="36"/>
        <v>0.11428571428571428</v>
      </c>
      <c r="V54" s="57">
        <f t="shared" si="36"/>
        <v>0.10884353741496598</v>
      </c>
      <c r="W54" s="57">
        <f t="shared" si="36"/>
        <v>0.10389610389610388</v>
      </c>
      <c r="X54" s="57">
        <f t="shared" si="36"/>
        <v>9.9378881987577633E-2</v>
      </c>
      <c r="Y54" s="57">
        <f t="shared" si="36"/>
        <v>9.5238095238095233E-2</v>
      </c>
      <c r="Z54" s="57">
        <f t="shared" si="36"/>
        <v>9.1428571428571428E-2</v>
      </c>
      <c r="AA54" s="57">
        <f t="shared" si="36"/>
        <v>8.7912087912087919E-2</v>
      </c>
      <c r="AB54" s="57">
        <f t="shared" si="36"/>
        <v>8.4656084656084651E-2</v>
      </c>
      <c r="AC54" s="57">
        <f t="shared" si="36"/>
        <v>8.1632653061224483E-2</v>
      </c>
      <c r="AD54" s="57">
        <f t="shared" si="36"/>
        <v>7.8817733990147784E-2</v>
      </c>
      <c r="AE54" s="57">
        <f t="shared" si="36"/>
        <v>7.6190476190476197E-2</v>
      </c>
      <c r="AF54" s="57">
        <f t="shared" si="36"/>
        <v>7.3732718894009217E-2</v>
      </c>
      <c r="AG54" s="57">
        <f t="shared" si="36"/>
        <v>7.1428571428571425E-2</v>
      </c>
      <c r="AH54" s="57">
        <f t="shared" si="36"/>
        <v>6.9264069264069264E-2</v>
      </c>
      <c r="AI54" s="57">
        <f t="shared" si="36"/>
        <v>6.7226890756302518E-2</v>
      </c>
      <c r="AJ54" s="57">
        <f t="shared" si="36"/>
        <v>6.5306122448979598E-2</v>
      </c>
      <c r="AK54" s="57">
        <f t="shared" si="36"/>
        <v>6.3492063492063489E-2</v>
      </c>
      <c r="AL54" s="57">
        <f t="shared" si="36"/>
        <v>6.1776061776061778E-2</v>
      </c>
      <c r="AM54" s="57">
        <f t="shared" si="36"/>
        <v>6.0150375939849621E-2</v>
      </c>
      <c r="AN54" s="57">
        <f t="shared" si="36"/>
        <v>5.8608058608058608E-2</v>
      </c>
      <c r="AO54" s="57">
        <f t="shared" si="36"/>
        <v>5.7142857142857141E-2</v>
      </c>
    </row>
    <row r="55" spans="2:41" x14ac:dyDescent="0.25">
      <c r="B55" s="58">
        <v>2150</v>
      </c>
      <c r="C55" s="57">
        <f t="shared" ref="C55:AO55" si="37">$F$5/(3600*(C13/1000)*($B$55/1000))</f>
        <v>1.1162790697674418</v>
      </c>
      <c r="D55" s="57">
        <f t="shared" si="37"/>
        <v>0.7441860465116279</v>
      </c>
      <c r="E55" s="57">
        <f t="shared" si="37"/>
        <v>0.55813953488372092</v>
      </c>
      <c r="F55" s="57">
        <f t="shared" si="37"/>
        <v>0.44651162790697674</v>
      </c>
      <c r="G55" s="57">
        <f t="shared" si="37"/>
        <v>0.37209302325581395</v>
      </c>
      <c r="H55" s="57">
        <f t="shared" si="37"/>
        <v>0.31893687707641194</v>
      </c>
      <c r="I55" s="57">
        <f t="shared" si="37"/>
        <v>0.27906976744186046</v>
      </c>
      <c r="J55" s="57">
        <f t="shared" si="37"/>
        <v>0.24806201550387597</v>
      </c>
      <c r="K55" s="57">
        <f t="shared" si="37"/>
        <v>0.22325581395348837</v>
      </c>
      <c r="L55" s="57">
        <f t="shared" si="37"/>
        <v>0.20295983086680761</v>
      </c>
      <c r="M55" s="57">
        <f t="shared" si="37"/>
        <v>0.18604651162790697</v>
      </c>
      <c r="N55" s="57">
        <f t="shared" si="37"/>
        <v>0.17173524150268335</v>
      </c>
      <c r="O55" s="57">
        <f t="shared" si="37"/>
        <v>0.15946843853820597</v>
      </c>
      <c r="P55" s="57">
        <f t="shared" si="37"/>
        <v>0.14883720930232558</v>
      </c>
      <c r="Q55" s="57">
        <f t="shared" si="37"/>
        <v>0.13953488372093023</v>
      </c>
      <c r="R55" s="57">
        <f t="shared" si="37"/>
        <v>0.13132694938440492</v>
      </c>
      <c r="S55" s="57">
        <f t="shared" si="37"/>
        <v>0.12403100775193798</v>
      </c>
      <c r="T55" s="57">
        <f t="shared" si="37"/>
        <v>0.1175030599755202</v>
      </c>
      <c r="U55" s="57">
        <f t="shared" si="37"/>
        <v>0.11162790697674418</v>
      </c>
      <c r="V55" s="57">
        <f t="shared" si="37"/>
        <v>0.10631229235880399</v>
      </c>
      <c r="W55" s="57">
        <f t="shared" si="37"/>
        <v>0.1014799154334038</v>
      </c>
      <c r="X55" s="57">
        <f t="shared" si="37"/>
        <v>9.7067745197168862E-2</v>
      </c>
      <c r="Y55" s="57">
        <f t="shared" si="37"/>
        <v>9.3023255813953487E-2</v>
      </c>
      <c r="Z55" s="57">
        <f t="shared" si="37"/>
        <v>8.930232558139535E-2</v>
      </c>
      <c r="AA55" s="57">
        <f t="shared" si="37"/>
        <v>8.5867620751341675E-2</v>
      </c>
      <c r="AB55" s="57">
        <f t="shared" si="37"/>
        <v>8.2687338501291993E-2</v>
      </c>
      <c r="AC55" s="57">
        <f t="shared" si="37"/>
        <v>7.9734219269102985E-2</v>
      </c>
      <c r="AD55" s="57">
        <f t="shared" si="37"/>
        <v>7.6984763432237369E-2</v>
      </c>
      <c r="AE55" s="57">
        <f t="shared" si="37"/>
        <v>7.441860465116279E-2</v>
      </c>
      <c r="AF55" s="57">
        <f t="shared" si="37"/>
        <v>7.2018004501125277E-2</v>
      </c>
      <c r="AG55" s="57">
        <f t="shared" si="37"/>
        <v>6.9767441860465115E-2</v>
      </c>
      <c r="AH55" s="57">
        <f t="shared" si="37"/>
        <v>6.765327695560254E-2</v>
      </c>
      <c r="AI55" s="57">
        <f t="shared" si="37"/>
        <v>6.5663474692202461E-2</v>
      </c>
      <c r="AJ55" s="57">
        <f t="shared" si="37"/>
        <v>6.3787375415282385E-2</v>
      </c>
      <c r="AK55" s="57">
        <f t="shared" si="37"/>
        <v>6.2015503875968991E-2</v>
      </c>
      <c r="AL55" s="57">
        <f t="shared" si="37"/>
        <v>6.033940917661848E-2</v>
      </c>
      <c r="AM55" s="57">
        <f t="shared" si="37"/>
        <v>5.87515299877601E-2</v>
      </c>
      <c r="AN55" s="57">
        <f t="shared" si="37"/>
        <v>5.7245080500894455E-2</v>
      </c>
      <c r="AO55" s="57">
        <f t="shared" si="37"/>
        <v>5.5813953488372092E-2</v>
      </c>
    </row>
    <row r="56" spans="2:41" x14ac:dyDescent="0.25">
      <c r="B56" s="58">
        <v>2200</v>
      </c>
      <c r="C56" s="57">
        <f t="shared" ref="C56:AO56" si="38">$F$5/(3600*(C13/1000)*($B$56/1000))</f>
        <v>1.0909090909090908</v>
      </c>
      <c r="D56" s="57">
        <f t="shared" si="38"/>
        <v>0.72727272727272729</v>
      </c>
      <c r="E56" s="57">
        <f t="shared" si="38"/>
        <v>0.54545454545454541</v>
      </c>
      <c r="F56" s="57">
        <f t="shared" si="38"/>
        <v>0.43636363636363629</v>
      </c>
      <c r="G56" s="57">
        <f t="shared" si="38"/>
        <v>0.36363636363636365</v>
      </c>
      <c r="H56" s="57">
        <f t="shared" si="38"/>
        <v>0.31168831168831168</v>
      </c>
      <c r="I56" s="57">
        <f t="shared" si="38"/>
        <v>0.27272727272727271</v>
      </c>
      <c r="J56" s="57">
        <f t="shared" si="38"/>
        <v>0.2424242424242424</v>
      </c>
      <c r="K56" s="57">
        <f t="shared" si="38"/>
        <v>0.21818181818181814</v>
      </c>
      <c r="L56" s="57">
        <f t="shared" si="38"/>
        <v>0.19834710743801648</v>
      </c>
      <c r="M56" s="57">
        <f t="shared" si="38"/>
        <v>0.18181818181818182</v>
      </c>
      <c r="N56" s="57">
        <f t="shared" si="38"/>
        <v>0.16783216783216784</v>
      </c>
      <c r="O56" s="57">
        <f t="shared" si="38"/>
        <v>0.15584415584415584</v>
      </c>
      <c r="P56" s="57">
        <f t="shared" si="38"/>
        <v>0.14545454545454542</v>
      </c>
      <c r="Q56" s="57">
        <f t="shared" si="38"/>
        <v>0.13636363636363635</v>
      </c>
      <c r="R56" s="57">
        <f t="shared" si="38"/>
        <v>0.1283422459893048</v>
      </c>
      <c r="S56" s="57">
        <f t="shared" si="38"/>
        <v>0.1212121212121212</v>
      </c>
      <c r="T56" s="57">
        <f t="shared" si="38"/>
        <v>0.11483253588516745</v>
      </c>
      <c r="U56" s="57">
        <f t="shared" si="38"/>
        <v>0.10909090909090907</v>
      </c>
      <c r="V56" s="57">
        <f t="shared" si="38"/>
        <v>0.1038961038961039</v>
      </c>
      <c r="W56" s="57">
        <f t="shared" si="38"/>
        <v>9.9173553719008239E-2</v>
      </c>
      <c r="X56" s="57">
        <f t="shared" si="38"/>
        <v>9.4861660079051377E-2</v>
      </c>
      <c r="Y56" s="57">
        <f t="shared" si="38"/>
        <v>9.0909090909090912E-2</v>
      </c>
      <c r="Z56" s="57">
        <f t="shared" si="38"/>
        <v>8.727272727272728E-2</v>
      </c>
      <c r="AA56" s="57">
        <f t="shared" si="38"/>
        <v>8.3916083916083919E-2</v>
      </c>
      <c r="AB56" s="57">
        <f t="shared" si="38"/>
        <v>8.0808080808080815E-2</v>
      </c>
      <c r="AC56" s="57">
        <f t="shared" si="38"/>
        <v>7.792207792207792E-2</v>
      </c>
      <c r="AD56" s="57">
        <f t="shared" si="38"/>
        <v>7.5235109717868329E-2</v>
      </c>
      <c r="AE56" s="57">
        <f t="shared" si="38"/>
        <v>7.272727272727271E-2</v>
      </c>
      <c r="AF56" s="57">
        <f t="shared" si="38"/>
        <v>7.0381231671554245E-2</v>
      </c>
      <c r="AG56" s="57">
        <f t="shared" si="38"/>
        <v>6.8181818181818177E-2</v>
      </c>
      <c r="AH56" s="57">
        <f t="shared" si="38"/>
        <v>6.6115702479338831E-2</v>
      </c>
      <c r="AI56" s="57">
        <f t="shared" si="38"/>
        <v>6.4171122994652399E-2</v>
      </c>
      <c r="AJ56" s="57">
        <f t="shared" si="38"/>
        <v>6.2337662337662331E-2</v>
      </c>
      <c r="AK56" s="57">
        <f t="shared" si="38"/>
        <v>6.0606060606060601E-2</v>
      </c>
      <c r="AL56" s="57">
        <f t="shared" si="38"/>
        <v>5.8968058968058963E-2</v>
      </c>
      <c r="AM56" s="57">
        <f t="shared" si="38"/>
        <v>5.7416267942583726E-2</v>
      </c>
      <c r="AN56" s="57">
        <f t="shared" si="38"/>
        <v>5.5944055944055937E-2</v>
      </c>
      <c r="AO56" s="57">
        <f t="shared" si="38"/>
        <v>5.4545454545454536E-2</v>
      </c>
    </row>
    <row r="57" spans="2:41" x14ac:dyDescent="0.25">
      <c r="B57" s="58">
        <v>2250</v>
      </c>
      <c r="C57" s="57">
        <f t="shared" ref="C57:AO57" si="39">$F$5/(3600*(C13/1000)*($B$57/1000))</f>
        <v>1.0666666666666667</v>
      </c>
      <c r="D57" s="57">
        <f t="shared" si="39"/>
        <v>0.71111111111111114</v>
      </c>
      <c r="E57" s="57">
        <f t="shared" si="39"/>
        <v>0.53333333333333333</v>
      </c>
      <c r="F57" s="57">
        <f t="shared" si="39"/>
        <v>0.42666666666666669</v>
      </c>
      <c r="G57" s="57">
        <f t="shared" si="39"/>
        <v>0.35555555555555557</v>
      </c>
      <c r="H57" s="57">
        <f t="shared" si="39"/>
        <v>0.30476190476190479</v>
      </c>
      <c r="I57" s="57">
        <f t="shared" si="39"/>
        <v>0.26666666666666666</v>
      </c>
      <c r="J57" s="57">
        <f t="shared" si="39"/>
        <v>0.23703703703703705</v>
      </c>
      <c r="K57" s="57">
        <f t="shared" si="39"/>
        <v>0.21333333333333335</v>
      </c>
      <c r="L57" s="57">
        <f t="shared" si="39"/>
        <v>0.19393939393939391</v>
      </c>
      <c r="M57" s="57">
        <f t="shared" si="39"/>
        <v>0.17777777777777778</v>
      </c>
      <c r="N57" s="57">
        <f t="shared" si="39"/>
        <v>0.1641025641025641</v>
      </c>
      <c r="O57" s="57">
        <f t="shared" si="39"/>
        <v>0.15238095238095239</v>
      </c>
      <c r="P57" s="57">
        <f t="shared" si="39"/>
        <v>0.14222222222222222</v>
      </c>
      <c r="Q57" s="57">
        <f t="shared" si="39"/>
        <v>0.13333333333333333</v>
      </c>
      <c r="R57" s="57">
        <f t="shared" si="39"/>
        <v>0.12549019607843137</v>
      </c>
      <c r="S57" s="57">
        <f t="shared" si="39"/>
        <v>0.11851851851851852</v>
      </c>
      <c r="T57" s="57">
        <f t="shared" si="39"/>
        <v>0.11228070175438597</v>
      </c>
      <c r="U57" s="57">
        <f t="shared" si="39"/>
        <v>0.10666666666666667</v>
      </c>
      <c r="V57" s="57">
        <f t="shared" si="39"/>
        <v>0.10158730158730159</v>
      </c>
      <c r="W57" s="57">
        <f t="shared" si="39"/>
        <v>9.6969696969696956E-2</v>
      </c>
      <c r="X57" s="57">
        <f t="shared" si="39"/>
        <v>9.2753623188405798E-2</v>
      </c>
      <c r="Y57" s="57">
        <f t="shared" si="39"/>
        <v>8.8888888888888892E-2</v>
      </c>
      <c r="Z57" s="57">
        <f t="shared" si="39"/>
        <v>8.533333333333333E-2</v>
      </c>
      <c r="AA57" s="57">
        <f t="shared" si="39"/>
        <v>8.2051282051282051E-2</v>
      </c>
      <c r="AB57" s="57">
        <f t="shared" si="39"/>
        <v>7.9012345679012344E-2</v>
      </c>
      <c r="AC57" s="57">
        <f t="shared" si="39"/>
        <v>7.6190476190476197E-2</v>
      </c>
      <c r="AD57" s="57">
        <f t="shared" si="39"/>
        <v>7.3563218390804597E-2</v>
      </c>
      <c r="AE57" s="57">
        <f t="shared" si="39"/>
        <v>7.1111111111111111E-2</v>
      </c>
      <c r="AF57" s="57">
        <f t="shared" si="39"/>
        <v>6.8817204301075269E-2</v>
      </c>
      <c r="AG57" s="57">
        <f t="shared" si="39"/>
        <v>6.6666666666666666E-2</v>
      </c>
      <c r="AH57" s="57">
        <f t="shared" si="39"/>
        <v>6.4646464646464646E-2</v>
      </c>
      <c r="AI57" s="57">
        <f t="shared" si="39"/>
        <v>6.2745098039215685E-2</v>
      </c>
      <c r="AJ57" s="57">
        <f t="shared" si="39"/>
        <v>6.0952380952380952E-2</v>
      </c>
      <c r="AK57" s="57">
        <f t="shared" si="39"/>
        <v>5.9259259259259262E-2</v>
      </c>
      <c r="AL57" s="57">
        <f t="shared" si="39"/>
        <v>5.7657657657657659E-2</v>
      </c>
      <c r="AM57" s="57">
        <f t="shared" si="39"/>
        <v>5.6140350877192984E-2</v>
      </c>
      <c r="AN57" s="57">
        <f t="shared" si="39"/>
        <v>5.4700854700854701E-2</v>
      </c>
      <c r="AO57" s="57">
        <f t="shared" si="39"/>
        <v>5.3333333333333337E-2</v>
      </c>
    </row>
    <row r="58" spans="2:41" x14ac:dyDescent="0.25">
      <c r="B58" s="58">
        <v>2300</v>
      </c>
      <c r="C58" s="57">
        <f t="shared" ref="C58:AO58" si="40">$F$5/(3600*(C13/1000)*($B$58/1000))</f>
        <v>1.0434782608695654</v>
      </c>
      <c r="D58" s="57">
        <f t="shared" si="40"/>
        <v>0.69565217391304346</v>
      </c>
      <c r="E58" s="57">
        <f t="shared" si="40"/>
        <v>0.52173913043478271</v>
      </c>
      <c r="F58" s="57">
        <f t="shared" si="40"/>
        <v>0.41739130434782606</v>
      </c>
      <c r="G58" s="57">
        <f t="shared" si="40"/>
        <v>0.34782608695652173</v>
      </c>
      <c r="H58" s="57">
        <f t="shared" si="40"/>
        <v>0.29813664596273293</v>
      </c>
      <c r="I58" s="57">
        <f t="shared" si="40"/>
        <v>0.26086956521739135</v>
      </c>
      <c r="J58" s="57">
        <f t="shared" si="40"/>
        <v>0.23188405797101452</v>
      </c>
      <c r="K58" s="57">
        <f t="shared" si="40"/>
        <v>0.20869565217391303</v>
      </c>
      <c r="L58" s="57">
        <f t="shared" si="40"/>
        <v>0.18972332015810275</v>
      </c>
      <c r="M58" s="57">
        <f t="shared" si="40"/>
        <v>0.17391304347826086</v>
      </c>
      <c r="N58" s="57">
        <f t="shared" si="40"/>
        <v>0.16053511705685619</v>
      </c>
      <c r="O58" s="57">
        <f t="shared" si="40"/>
        <v>0.14906832298136646</v>
      </c>
      <c r="P58" s="57">
        <f t="shared" si="40"/>
        <v>0.13913043478260873</v>
      </c>
      <c r="Q58" s="57">
        <f t="shared" si="40"/>
        <v>0.13043478260869568</v>
      </c>
      <c r="R58" s="57">
        <f t="shared" si="40"/>
        <v>0.12276214833759592</v>
      </c>
      <c r="S58" s="57">
        <f t="shared" si="40"/>
        <v>0.11594202898550726</v>
      </c>
      <c r="T58" s="57">
        <f t="shared" si="40"/>
        <v>0.10983981693363845</v>
      </c>
      <c r="U58" s="57">
        <f t="shared" si="40"/>
        <v>0.10434782608695652</v>
      </c>
      <c r="V58" s="57">
        <f t="shared" si="40"/>
        <v>9.9378881987577633E-2</v>
      </c>
      <c r="W58" s="57">
        <f t="shared" si="40"/>
        <v>9.4861660079051377E-2</v>
      </c>
      <c r="X58" s="57">
        <f t="shared" si="40"/>
        <v>9.0737240075614373E-2</v>
      </c>
      <c r="Y58" s="57">
        <f t="shared" si="40"/>
        <v>8.6956521739130432E-2</v>
      </c>
      <c r="Z58" s="57">
        <f t="shared" si="40"/>
        <v>8.3478260869565224E-2</v>
      </c>
      <c r="AA58" s="57">
        <f t="shared" si="40"/>
        <v>8.0267558528428096E-2</v>
      </c>
      <c r="AB58" s="57">
        <f t="shared" si="40"/>
        <v>7.7294685990338161E-2</v>
      </c>
      <c r="AC58" s="57">
        <f t="shared" si="40"/>
        <v>7.4534161490683232E-2</v>
      </c>
      <c r="AD58" s="57">
        <f t="shared" si="40"/>
        <v>7.1964017991004506E-2</v>
      </c>
      <c r="AE58" s="57">
        <f t="shared" si="40"/>
        <v>6.9565217391304363E-2</v>
      </c>
      <c r="AF58" s="57">
        <f t="shared" si="40"/>
        <v>6.7321178120617123E-2</v>
      </c>
      <c r="AG58" s="57">
        <f t="shared" si="40"/>
        <v>6.5217391304347838E-2</v>
      </c>
      <c r="AH58" s="57">
        <f t="shared" si="40"/>
        <v>6.3241106719367599E-2</v>
      </c>
      <c r="AI58" s="57">
        <f t="shared" si="40"/>
        <v>6.1381074168797962E-2</v>
      </c>
      <c r="AJ58" s="57">
        <f t="shared" si="40"/>
        <v>5.962732919254659E-2</v>
      </c>
      <c r="AK58" s="57">
        <f t="shared" si="40"/>
        <v>5.7971014492753631E-2</v>
      </c>
      <c r="AL58" s="57">
        <f t="shared" si="40"/>
        <v>5.6404230317273804E-2</v>
      </c>
      <c r="AM58" s="57">
        <f t="shared" si="40"/>
        <v>5.4919908466819226E-2</v>
      </c>
      <c r="AN58" s="57">
        <f t="shared" si="40"/>
        <v>5.3511705685618735E-2</v>
      </c>
      <c r="AO58" s="57">
        <f t="shared" si="40"/>
        <v>5.2173913043478258E-2</v>
      </c>
    </row>
    <row r="59" spans="2:41" x14ac:dyDescent="0.25">
      <c r="B59" s="58">
        <v>2350</v>
      </c>
      <c r="C59" s="57">
        <f t="shared" ref="C59:AO59" si="41">$F$5/(3600*(C13/1000)*($B$59/1000))</f>
        <v>1.0212765957446808</v>
      </c>
      <c r="D59" s="57">
        <f t="shared" si="41"/>
        <v>0.68085106382978722</v>
      </c>
      <c r="E59" s="57">
        <f t="shared" si="41"/>
        <v>0.51063829787234039</v>
      </c>
      <c r="F59" s="57">
        <f t="shared" si="41"/>
        <v>0.40851063829787232</v>
      </c>
      <c r="G59" s="57">
        <f t="shared" si="41"/>
        <v>0.34042553191489361</v>
      </c>
      <c r="H59" s="57">
        <f t="shared" si="41"/>
        <v>0.2917933130699088</v>
      </c>
      <c r="I59" s="57">
        <f t="shared" si="41"/>
        <v>0.25531914893617019</v>
      </c>
      <c r="J59" s="57">
        <f t="shared" si="41"/>
        <v>0.22695035460992907</v>
      </c>
      <c r="K59" s="57">
        <f t="shared" si="41"/>
        <v>0.20425531914893616</v>
      </c>
      <c r="L59" s="57">
        <f t="shared" si="41"/>
        <v>0.18568665377176011</v>
      </c>
      <c r="M59" s="57">
        <f t="shared" si="41"/>
        <v>0.1702127659574468</v>
      </c>
      <c r="N59" s="57">
        <f t="shared" si="41"/>
        <v>0.15711947626841244</v>
      </c>
      <c r="O59" s="57">
        <f t="shared" si="41"/>
        <v>0.1458966565349544</v>
      </c>
      <c r="P59" s="57">
        <f t="shared" si="41"/>
        <v>0.13617021276595745</v>
      </c>
      <c r="Q59" s="57">
        <f t="shared" si="41"/>
        <v>0.1276595744680851</v>
      </c>
      <c r="R59" s="57">
        <f t="shared" si="41"/>
        <v>0.12015018773466833</v>
      </c>
      <c r="S59" s="57">
        <f t="shared" si="41"/>
        <v>0.11347517730496454</v>
      </c>
      <c r="T59" s="57">
        <f t="shared" si="41"/>
        <v>0.10750279955207166</v>
      </c>
      <c r="U59" s="57">
        <f t="shared" si="41"/>
        <v>0.10212765957446808</v>
      </c>
      <c r="V59" s="57">
        <f t="shared" si="41"/>
        <v>9.7264437689969604E-2</v>
      </c>
      <c r="W59" s="57">
        <f t="shared" si="41"/>
        <v>9.2843326885880054E-2</v>
      </c>
      <c r="X59" s="57">
        <f t="shared" si="41"/>
        <v>8.8806660499537463E-2</v>
      </c>
      <c r="Y59" s="57">
        <f t="shared" si="41"/>
        <v>8.5106382978723402E-2</v>
      </c>
      <c r="Z59" s="57">
        <f t="shared" si="41"/>
        <v>8.1702127659574464E-2</v>
      </c>
      <c r="AA59" s="57">
        <f t="shared" si="41"/>
        <v>7.855973813420622E-2</v>
      </c>
      <c r="AB59" s="57">
        <f t="shared" si="41"/>
        <v>7.5650118203309691E-2</v>
      </c>
      <c r="AC59" s="57">
        <f t="shared" si="41"/>
        <v>7.29483282674772E-2</v>
      </c>
      <c r="AD59" s="57">
        <f t="shared" si="41"/>
        <v>7.0432868672046955E-2</v>
      </c>
      <c r="AE59" s="57">
        <f t="shared" si="41"/>
        <v>6.8085106382978725E-2</v>
      </c>
      <c r="AF59" s="57">
        <f t="shared" si="41"/>
        <v>6.5888812628689092E-2</v>
      </c>
      <c r="AG59" s="57">
        <f t="shared" si="41"/>
        <v>6.3829787234042548E-2</v>
      </c>
      <c r="AH59" s="57">
        <f t="shared" si="41"/>
        <v>6.1895551257253385E-2</v>
      </c>
      <c r="AI59" s="57">
        <f t="shared" si="41"/>
        <v>6.0075093867334166E-2</v>
      </c>
      <c r="AJ59" s="57">
        <f t="shared" si="41"/>
        <v>5.835866261398176E-2</v>
      </c>
      <c r="AK59" s="57">
        <f t="shared" si="41"/>
        <v>5.6737588652482268E-2</v>
      </c>
      <c r="AL59" s="57">
        <f t="shared" si="41"/>
        <v>5.5204140310523286E-2</v>
      </c>
      <c r="AM59" s="57">
        <f t="shared" si="41"/>
        <v>5.3751399776035831E-2</v>
      </c>
      <c r="AN59" s="57">
        <f t="shared" si="41"/>
        <v>5.2373158756137482E-2</v>
      </c>
      <c r="AO59" s="57">
        <f t="shared" si="41"/>
        <v>5.106382978723404E-2</v>
      </c>
    </row>
    <row r="60" spans="2:41" x14ac:dyDescent="0.25">
      <c r="B60" s="58">
        <v>2400</v>
      </c>
      <c r="C60" s="57">
        <f t="shared" ref="C60:AO60" si="42">$F$5/(3600*(C13/1000)*($B$60/1000))</f>
        <v>1</v>
      </c>
      <c r="D60" s="57">
        <f t="shared" si="42"/>
        <v>0.66666666666666663</v>
      </c>
      <c r="E60" s="57">
        <f t="shared" si="42"/>
        <v>0.5</v>
      </c>
      <c r="F60" s="57">
        <f t="shared" si="42"/>
        <v>0.4</v>
      </c>
      <c r="G60" s="57">
        <f t="shared" si="42"/>
        <v>0.33333333333333331</v>
      </c>
      <c r="H60" s="57">
        <f t="shared" si="42"/>
        <v>0.2857142857142857</v>
      </c>
      <c r="I60" s="57">
        <f t="shared" si="42"/>
        <v>0.25</v>
      </c>
      <c r="J60" s="57">
        <f t="shared" si="42"/>
        <v>0.22222222222222221</v>
      </c>
      <c r="K60" s="57">
        <f t="shared" si="42"/>
        <v>0.2</v>
      </c>
      <c r="L60" s="57">
        <f t="shared" si="42"/>
        <v>0.18181818181818182</v>
      </c>
      <c r="M60" s="57">
        <f t="shared" si="42"/>
        <v>0.16666666666666666</v>
      </c>
      <c r="N60" s="57">
        <f t="shared" si="42"/>
        <v>0.15384615384615385</v>
      </c>
      <c r="O60" s="57">
        <f t="shared" si="42"/>
        <v>0.14285714285714285</v>
      </c>
      <c r="P60" s="57">
        <f t="shared" si="42"/>
        <v>0.13333333333333333</v>
      </c>
      <c r="Q60" s="57">
        <f t="shared" si="42"/>
        <v>0.125</v>
      </c>
      <c r="R60" s="57">
        <f t="shared" si="42"/>
        <v>0.11764705882352941</v>
      </c>
      <c r="S60" s="57">
        <f t="shared" si="42"/>
        <v>0.1111111111111111</v>
      </c>
      <c r="T60" s="57">
        <f t="shared" si="42"/>
        <v>0.10526315789473684</v>
      </c>
      <c r="U60" s="57">
        <f t="shared" si="42"/>
        <v>0.1</v>
      </c>
      <c r="V60" s="57">
        <f t="shared" si="42"/>
        <v>9.5238095238095233E-2</v>
      </c>
      <c r="W60" s="57">
        <f t="shared" si="42"/>
        <v>9.0909090909090912E-2</v>
      </c>
      <c r="X60" s="57">
        <f t="shared" si="42"/>
        <v>8.6956521739130432E-2</v>
      </c>
      <c r="Y60" s="57">
        <f t="shared" si="42"/>
        <v>8.3333333333333329E-2</v>
      </c>
      <c r="Z60" s="57">
        <f t="shared" si="42"/>
        <v>0.08</v>
      </c>
      <c r="AA60" s="57">
        <f t="shared" si="42"/>
        <v>7.6923076923076927E-2</v>
      </c>
      <c r="AB60" s="57">
        <f t="shared" si="42"/>
        <v>7.407407407407407E-2</v>
      </c>
      <c r="AC60" s="57">
        <f t="shared" si="42"/>
        <v>7.1428571428571425E-2</v>
      </c>
      <c r="AD60" s="57">
        <f t="shared" si="42"/>
        <v>6.8965517241379309E-2</v>
      </c>
      <c r="AE60" s="57">
        <f t="shared" si="42"/>
        <v>6.6666666666666666E-2</v>
      </c>
      <c r="AF60" s="57">
        <f t="shared" si="42"/>
        <v>6.4516129032258063E-2</v>
      </c>
      <c r="AG60" s="57">
        <f t="shared" si="42"/>
        <v>6.25E-2</v>
      </c>
      <c r="AH60" s="57">
        <f t="shared" si="42"/>
        <v>6.0606060606060608E-2</v>
      </c>
      <c r="AI60" s="57">
        <f t="shared" si="42"/>
        <v>5.8823529411764705E-2</v>
      </c>
      <c r="AJ60" s="57">
        <f t="shared" si="42"/>
        <v>5.7142857142857141E-2</v>
      </c>
      <c r="AK60" s="57">
        <f t="shared" si="42"/>
        <v>5.5555555555555552E-2</v>
      </c>
      <c r="AL60" s="57">
        <f t="shared" si="42"/>
        <v>5.4054054054054057E-2</v>
      </c>
      <c r="AM60" s="57">
        <f t="shared" si="42"/>
        <v>5.2631578947368418E-2</v>
      </c>
      <c r="AN60" s="57">
        <f t="shared" si="42"/>
        <v>5.128205128205128E-2</v>
      </c>
      <c r="AO60" s="57">
        <f t="shared" si="42"/>
        <v>0.05</v>
      </c>
    </row>
    <row r="61" spans="2:41" x14ac:dyDescent="0.25">
      <c r="B61" s="58">
        <v>2450</v>
      </c>
      <c r="C61" s="57">
        <f t="shared" ref="C61:AO61" si="43">$F$5/(3600*(C13/1000)*($B$61/1000))</f>
        <v>0.97959183673469374</v>
      </c>
      <c r="D61" s="57">
        <f t="shared" si="43"/>
        <v>0.65306122448979587</v>
      </c>
      <c r="E61" s="57">
        <f t="shared" si="43"/>
        <v>0.48979591836734687</v>
      </c>
      <c r="F61" s="57">
        <f t="shared" si="43"/>
        <v>0.39183673469387753</v>
      </c>
      <c r="G61" s="57">
        <f t="shared" si="43"/>
        <v>0.32653061224489793</v>
      </c>
      <c r="H61" s="57">
        <f t="shared" si="43"/>
        <v>0.27988338192419826</v>
      </c>
      <c r="I61" s="57">
        <f t="shared" si="43"/>
        <v>0.24489795918367344</v>
      </c>
      <c r="J61" s="57">
        <f t="shared" si="43"/>
        <v>0.21768707482993194</v>
      </c>
      <c r="K61" s="57">
        <f t="shared" si="43"/>
        <v>0.19591836734693877</v>
      </c>
      <c r="L61" s="57">
        <f t="shared" si="43"/>
        <v>0.17810760667903522</v>
      </c>
      <c r="M61" s="57">
        <f t="shared" si="43"/>
        <v>0.16326530612244897</v>
      </c>
      <c r="N61" s="57">
        <f t="shared" si="43"/>
        <v>0.15070643642072212</v>
      </c>
      <c r="O61" s="57">
        <f t="shared" si="43"/>
        <v>0.13994169096209913</v>
      </c>
      <c r="P61" s="57">
        <f t="shared" si="43"/>
        <v>0.13061224489795917</v>
      </c>
      <c r="Q61" s="57">
        <f t="shared" si="43"/>
        <v>0.12244897959183672</v>
      </c>
      <c r="R61" s="57">
        <f t="shared" si="43"/>
        <v>0.11524609843937574</v>
      </c>
      <c r="S61" s="57">
        <f t="shared" si="43"/>
        <v>0.10884353741496597</v>
      </c>
      <c r="T61" s="57">
        <f t="shared" si="43"/>
        <v>0.10311493018259936</v>
      </c>
      <c r="U61" s="57">
        <f t="shared" si="43"/>
        <v>9.7959183673469383E-2</v>
      </c>
      <c r="V61" s="57">
        <f t="shared" si="43"/>
        <v>9.3294460641399415E-2</v>
      </c>
      <c r="W61" s="57">
        <f t="shared" si="43"/>
        <v>8.9053803339517609E-2</v>
      </c>
      <c r="X61" s="57">
        <f t="shared" si="43"/>
        <v>8.5181898846495116E-2</v>
      </c>
      <c r="Y61" s="57">
        <f t="shared" si="43"/>
        <v>8.1632653061224483E-2</v>
      </c>
      <c r="Z61" s="57">
        <f t="shared" si="43"/>
        <v>7.8367346938775506E-2</v>
      </c>
      <c r="AA61" s="57">
        <f t="shared" si="43"/>
        <v>7.5353218210361061E-2</v>
      </c>
      <c r="AB61" s="57">
        <f t="shared" si="43"/>
        <v>7.2562358276643993E-2</v>
      </c>
      <c r="AC61" s="57">
        <f t="shared" si="43"/>
        <v>6.9970845481049565E-2</v>
      </c>
      <c r="AD61" s="57">
        <f t="shared" si="43"/>
        <v>6.7558057705840946E-2</v>
      </c>
      <c r="AE61" s="57">
        <f t="shared" si="43"/>
        <v>6.5306122448979584E-2</v>
      </c>
      <c r="AF61" s="57">
        <f t="shared" si="43"/>
        <v>6.3199473337722176E-2</v>
      </c>
      <c r="AG61" s="57">
        <f t="shared" si="43"/>
        <v>6.1224489795918359E-2</v>
      </c>
      <c r="AH61" s="57">
        <f t="shared" si="43"/>
        <v>5.9369202226345077E-2</v>
      </c>
      <c r="AI61" s="57">
        <f t="shared" si="43"/>
        <v>5.7623049219687868E-2</v>
      </c>
      <c r="AJ61" s="57">
        <f t="shared" si="43"/>
        <v>5.5976676384839642E-2</v>
      </c>
      <c r="AK61" s="57">
        <f t="shared" si="43"/>
        <v>5.4421768707482984E-2</v>
      </c>
      <c r="AL61" s="57">
        <f t="shared" si="43"/>
        <v>5.2950910093767234E-2</v>
      </c>
      <c r="AM61" s="57">
        <f t="shared" si="43"/>
        <v>5.155746509129968E-2</v>
      </c>
      <c r="AN61" s="57">
        <f t="shared" si="43"/>
        <v>5.0235478806907381E-2</v>
      </c>
      <c r="AO61" s="57">
        <f t="shared" si="43"/>
        <v>4.8979591836734691E-2</v>
      </c>
    </row>
    <row r="62" spans="2:41" x14ac:dyDescent="0.25">
      <c r="B62" s="58">
        <v>2500</v>
      </c>
      <c r="C62" s="57">
        <f t="shared" ref="C62:AO62" si="44">$F$5/(3600*(C13/1000)*($B$62/1000))</f>
        <v>0.96</v>
      </c>
      <c r="D62" s="57">
        <f t="shared" si="44"/>
        <v>0.64</v>
      </c>
      <c r="E62" s="57">
        <f t="shared" si="44"/>
        <v>0.48</v>
      </c>
      <c r="F62" s="57">
        <f t="shared" si="44"/>
        <v>0.38400000000000001</v>
      </c>
      <c r="G62" s="57">
        <f t="shared" si="44"/>
        <v>0.32</v>
      </c>
      <c r="H62" s="57">
        <f t="shared" si="44"/>
        <v>0.2742857142857143</v>
      </c>
      <c r="I62" s="57">
        <f t="shared" si="44"/>
        <v>0.24</v>
      </c>
      <c r="J62" s="57">
        <f t="shared" si="44"/>
        <v>0.21333333333333335</v>
      </c>
      <c r="K62" s="57">
        <f t="shared" si="44"/>
        <v>0.192</v>
      </c>
      <c r="L62" s="57">
        <f t="shared" si="44"/>
        <v>0.1745454545454545</v>
      </c>
      <c r="M62" s="57">
        <f t="shared" si="44"/>
        <v>0.16</v>
      </c>
      <c r="N62" s="57">
        <f t="shared" si="44"/>
        <v>0.14769230769230771</v>
      </c>
      <c r="O62" s="57">
        <f t="shared" si="44"/>
        <v>0.13714285714285715</v>
      </c>
      <c r="P62" s="57">
        <f t="shared" si="44"/>
        <v>0.128</v>
      </c>
      <c r="Q62" s="57">
        <f t="shared" si="44"/>
        <v>0.12</v>
      </c>
      <c r="R62" s="57">
        <f t="shared" si="44"/>
        <v>0.11294117647058824</v>
      </c>
      <c r="S62" s="57">
        <f t="shared" si="44"/>
        <v>0.10666666666666667</v>
      </c>
      <c r="T62" s="57">
        <f t="shared" si="44"/>
        <v>0.10105263157894737</v>
      </c>
      <c r="U62" s="57">
        <f t="shared" si="44"/>
        <v>9.6000000000000002E-2</v>
      </c>
      <c r="V62" s="57">
        <f t="shared" si="44"/>
        <v>9.1428571428571428E-2</v>
      </c>
      <c r="W62" s="57">
        <f t="shared" si="44"/>
        <v>8.7272727272727252E-2</v>
      </c>
      <c r="X62" s="57">
        <f t="shared" si="44"/>
        <v>8.3478260869565224E-2</v>
      </c>
      <c r="Y62" s="57">
        <f t="shared" si="44"/>
        <v>0.08</v>
      </c>
      <c r="Z62" s="57">
        <f t="shared" si="44"/>
        <v>7.6799999999999993E-2</v>
      </c>
      <c r="AA62" s="57">
        <f t="shared" si="44"/>
        <v>7.3846153846153853E-2</v>
      </c>
      <c r="AB62" s="57">
        <f t="shared" si="44"/>
        <v>7.1111111111111111E-2</v>
      </c>
      <c r="AC62" s="57">
        <f t="shared" si="44"/>
        <v>6.8571428571428575E-2</v>
      </c>
      <c r="AD62" s="57">
        <f t="shared" si="44"/>
        <v>6.620689655172414E-2</v>
      </c>
      <c r="AE62" s="57">
        <f t="shared" si="44"/>
        <v>6.4000000000000001E-2</v>
      </c>
      <c r="AF62" s="57">
        <f t="shared" si="44"/>
        <v>6.1935483870967742E-2</v>
      </c>
      <c r="AG62" s="57">
        <f t="shared" si="44"/>
        <v>0.06</v>
      </c>
      <c r="AH62" s="57">
        <f t="shared" si="44"/>
        <v>5.8181818181818182E-2</v>
      </c>
      <c r="AI62" s="57">
        <f t="shared" si="44"/>
        <v>5.647058823529412E-2</v>
      </c>
      <c r="AJ62" s="57">
        <f t="shared" si="44"/>
        <v>5.4857142857142854E-2</v>
      </c>
      <c r="AK62" s="57">
        <f t="shared" si="44"/>
        <v>5.3333333333333337E-2</v>
      </c>
      <c r="AL62" s="57">
        <f t="shared" si="44"/>
        <v>5.1891891891891889E-2</v>
      </c>
      <c r="AM62" s="57">
        <f t="shared" si="44"/>
        <v>5.0526315789473683E-2</v>
      </c>
      <c r="AN62" s="57">
        <f t="shared" si="44"/>
        <v>4.9230769230769231E-2</v>
      </c>
      <c r="AO62" s="57">
        <f t="shared" si="44"/>
        <v>4.8000000000000001E-2</v>
      </c>
    </row>
    <row r="63" spans="2:41" x14ac:dyDescent="0.25">
      <c r="B63" s="58">
        <v>2550</v>
      </c>
      <c r="C63" s="57">
        <f t="shared" ref="C63:AO63" si="45">$F$5/(3600*(C13/1000)*($B$63/1000))</f>
        <v>0.94117647058823539</v>
      </c>
      <c r="D63" s="57">
        <f t="shared" si="45"/>
        <v>0.62745098039215685</v>
      </c>
      <c r="E63" s="57">
        <f t="shared" si="45"/>
        <v>0.4705882352941177</v>
      </c>
      <c r="F63" s="57">
        <f t="shared" si="45"/>
        <v>0.37647058823529411</v>
      </c>
      <c r="G63" s="57">
        <f t="shared" si="45"/>
        <v>0.31372549019607843</v>
      </c>
      <c r="H63" s="57">
        <f t="shared" si="45"/>
        <v>0.26890756302521007</v>
      </c>
      <c r="I63" s="57">
        <f t="shared" si="45"/>
        <v>0.23529411764705885</v>
      </c>
      <c r="J63" s="57">
        <f t="shared" si="45"/>
        <v>0.20915032679738563</v>
      </c>
      <c r="K63" s="57">
        <f t="shared" si="45"/>
        <v>0.18823529411764706</v>
      </c>
      <c r="L63" s="57">
        <f t="shared" si="45"/>
        <v>0.17112299465240641</v>
      </c>
      <c r="M63" s="57">
        <f t="shared" si="45"/>
        <v>0.15686274509803921</v>
      </c>
      <c r="N63" s="57">
        <f t="shared" si="45"/>
        <v>0.14479638009049775</v>
      </c>
      <c r="O63" s="57">
        <f t="shared" si="45"/>
        <v>0.13445378151260504</v>
      </c>
      <c r="P63" s="57">
        <f t="shared" si="45"/>
        <v>0.1254901960784314</v>
      </c>
      <c r="Q63" s="57">
        <f t="shared" si="45"/>
        <v>0.11764705882352942</v>
      </c>
      <c r="R63" s="57">
        <f t="shared" si="45"/>
        <v>0.11072664359861593</v>
      </c>
      <c r="S63" s="57">
        <f t="shared" si="45"/>
        <v>0.10457516339869281</v>
      </c>
      <c r="T63" s="57">
        <f t="shared" si="45"/>
        <v>9.9071207430340563E-2</v>
      </c>
      <c r="U63" s="57">
        <f t="shared" si="45"/>
        <v>9.4117647058823528E-2</v>
      </c>
      <c r="V63" s="57">
        <f t="shared" si="45"/>
        <v>8.9635854341736695E-2</v>
      </c>
      <c r="W63" s="57">
        <f t="shared" si="45"/>
        <v>8.5561497326203204E-2</v>
      </c>
      <c r="X63" s="57">
        <f t="shared" si="45"/>
        <v>8.1841432225063945E-2</v>
      </c>
      <c r="Y63" s="57">
        <f t="shared" si="45"/>
        <v>7.8431372549019607E-2</v>
      </c>
      <c r="Z63" s="57">
        <f t="shared" si="45"/>
        <v>7.5294117647058817E-2</v>
      </c>
      <c r="AA63" s="57">
        <f t="shared" si="45"/>
        <v>7.2398190045248875E-2</v>
      </c>
      <c r="AB63" s="57">
        <f t="shared" si="45"/>
        <v>6.9716775599128547E-2</v>
      </c>
      <c r="AC63" s="57">
        <f t="shared" si="45"/>
        <v>6.7226890756302518E-2</v>
      </c>
      <c r="AD63" s="57">
        <f t="shared" si="45"/>
        <v>6.4908722109533482E-2</v>
      </c>
      <c r="AE63" s="57">
        <f t="shared" si="45"/>
        <v>6.2745098039215699E-2</v>
      </c>
      <c r="AF63" s="57">
        <f t="shared" si="45"/>
        <v>6.0721062618595834E-2</v>
      </c>
      <c r="AG63" s="57">
        <f t="shared" si="45"/>
        <v>5.8823529411764712E-2</v>
      </c>
      <c r="AH63" s="57">
        <f t="shared" si="45"/>
        <v>5.7040998217468809E-2</v>
      </c>
      <c r="AI63" s="57">
        <f t="shared" si="45"/>
        <v>5.5363321799307967E-2</v>
      </c>
      <c r="AJ63" s="57">
        <f t="shared" si="45"/>
        <v>5.378151260504202E-2</v>
      </c>
      <c r="AK63" s="57">
        <f t="shared" si="45"/>
        <v>5.2287581699346407E-2</v>
      </c>
      <c r="AL63" s="57">
        <f t="shared" si="45"/>
        <v>5.0874403815580289E-2</v>
      </c>
      <c r="AM63" s="57">
        <f t="shared" si="45"/>
        <v>4.9535603715170282E-2</v>
      </c>
      <c r="AN63" s="57">
        <f t="shared" si="45"/>
        <v>4.8265460030165915E-2</v>
      </c>
      <c r="AO63" s="57">
        <f t="shared" si="45"/>
        <v>4.7058823529411764E-2</v>
      </c>
    </row>
    <row r="64" spans="2:41" x14ac:dyDescent="0.25">
      <c r="B64" s="58">
        <v>2600</v>
      </c>
      <c r="C64" s="57">
        <f t="shared" ref="C64:AO64" si="46">$F$5/(3600*(C13/1000)*($B$64/1000))</f>
        <v>0.92307692307692313</v>
      </c>
      <c r="D64" s="57">
        <f t="shared" si="46"/>
        <v>0.61538461538461542</v>
      </c>
      <c r="E64" s="57">
        <f t="shared" si="46"/>
        <v>0.46153846153846156</v>
      </c>
      <c r="F64" s="57">
        <f t="shared" si="46"/>
        <v>0.36923076923076925</v>
      </c>
      <c r="G64" s="57">
        <f t="shared" si="46"/>
        <v>0.30769230769230771</v>
      </c>
      <c r="H64" s="57">
        <f t="shared" si="46"/>
        <v>0.26373626373626374</v>
      </c>
      <c r="I64" s="57">
        <f t="shared" si="46"/>
        <v>0.23076923076923078</v>
      </c>
      <c r="J64" s="57">
        <f t="shared" si="46"/>
        <v>0.20512820512820512</v>
      </c>
      <c r="K64" s="57">
        <f t="shared" si="46"/>
        <v>0.18461538461538463</v>
      </c>
      <c r="L64" s="57">
        <f t="shared" si="46"/>
        <v>0.16783216783216781</v>
      </c>
      <c r="M64" s="57">
        <f t="shared" si="46"/>
        <v>0.15384615384615385</v>
      </c>
      <c r="N64" s="57">
        <f t="shared" si="46"/>
        <v>0.14201183431952663</v>
      </c>
      <c r="O64" s="57">
        <f t="shared" si="46"/>
        <v>0.13186813186813187</v>
      </c>
      <c r="P64" s="57">
        <f t="shared" si="46"/>
        <v>0.12307692307692308</v>
      </c>
      <c r="Q64" s="57">
        <f t="shared" si="46"/>
        <v>0.11538461538461539</v>
      </c>
      <c r="R64" s="57">
        <f t="shared" si="46"/>
        <v>0.10859728506787331</v>
      </c>
      <c r="S64" s="57">
        <f t="shared" si="46"/>
        <v>0.10256410256410256</v>
      </c>
      <c r="T64" s="57">
        <f t="shared" si="46"/>
        <v>9.7165991902834009E-2</v>
      </c>
      <c r="U64" s="57">
        <f t="shared" si="46"/>
        <v>9.2307692307692313E-2</v>
      </c>
      <c r="V64" s="57">
        <f t="shared" si="46"/>
        <v>8.7912087912087919E-2</v>
      </c>
      <c r="W64" s="57">
        <f t="shared" si="46"/>
        <v>8.3916083916083906E-2</v>
      </c>
      <c r="X64" s="57">
        <f t="shared" si="46"/>
        <v>8.0267558528428096E-2</v>
      </c>
      <c r="Y64" s="57">
        <f t="shared" si="46"/>
        <v>7.6923076923076927E-2</v>
      </c>
      <c r="Z64" s="57">
        <f t="shared" si="46"/>
        <v>7.3846153846153853E-2</v>
      </c>
      <c r="AA64" s="57">
        <f t="shared" si="46"/>
        <v>7.1005917159763315E-2</v>
      </c>
      <c r="AB64" s="57">
        <f t="shared" si="46"/>
        <v>6.8376068376068383E-2</v>
      </c>
      <c r="AC64" s="57">
        <f t="shared" si="46"/>
        <v>6.5934065934065936E-2</v>
      </c>
      <c r="AD64" s="57">
        <f t="shared" si="46"/>
        <v>6.3660477453580902E-2</v>
      </c>
      <c r="AE64" s="57">
        <f t="shared" si="46"/>
        <v>6.1538461538461542E-2</v>
      </c>
      <c r="AF64" s="57">
        <f t="shared" si="46"/>
        <v>5.9553349875930521E-2</v>
      </c>
      <c r="AG64" s="57">
        <f t="shared" si="46"/>
        <v>5.7692307692307696E-2</v>
      </c>
      <c r="AH64" s="57">
        <f t="shared" si="46"/>
        <v>5.5944055944055944E-2</v>
      </c>
      <c r="AI64" s="57">
        <f t="shared" si="46"/>
        <v>5.4298642533936653E-2</v>
      </c>
      <c r="AJ64" s="57">
        <f t="shared" si="46"/>
        <v>5.2747252747252747E-2</v>
      </c>
      <c r="AK64" s="57">
        <f t="shared" si="46"/>
        <v>5.128205128205128E-2</v>
      </c>
      <c r="AL64" s="57">
        <f t="shared" si="46"/>
        <v>4.9896049896049899E-2</v>
      </c>
      <c r="AM64" s="57">
        <f t="shared" si="46"/>
        <v>4.8582995951417005E-2</v>
      </c>
      <c r="AN64" s="57">
        <f t="shared" si="46"/>
        <v>4.7337278106508875E-2</v>
      </c>
      <c r="AO64" s="57">
        <f t="shared" si="46"/>
        <v>4.6153846153846156E-2</v>
      </c>
    </row>
    <row r="65" spans="2:78" x14ac:dyDescent="0.25">
      <c r="B65" s="58">
        <v>2650</v>
      </c>
      <c r="C65" s="57">
        <f t="shared" ref="C65:AO65" si="47">$F$5/(3600*(C13/1000)*($B$65/1000))</f>
        <v>0.90566037735849059</v>
      </c>
      <c r="D65" s="57">
        <f t="shared" si="47"/>
        <v>0.60377358490566035</v>
      </c>
      <c r="E65" s="57">
        <f t="shared" si="47"/>
        <v>0.45283018867924529</v>
      </c>
      <c r="F65" s="57">
        <f t="shared" si="47"/>
        <v>0.3622641509433962</v>
      </c>
      <c r="G65" s="57">
        <f t="shared" si="47"/>
        <v>0.30188679245283018</v>
      </c>
      <c r="H65" s="57">
        <f t="shared" si="47"/>
        <v>0.2587601078167116</v>
      </c>
      <c r="I65" s="57">
        <f t="shared" si="47"/>
        <v>0.22641509433962265</v>
      </c>
      <c r="J65" s="57">
        <f t="shared" si="47"/>
        <v>0.20125786163522014</v>
      </c>
      <c r="K65" s="57">
        <f t="shared" si="47"/>
        <v>0.1811320754716981</v>
      </c>
      <c r="L65" s="57">
        <f t="shared" si="47"/>
        <v>0.16466552315608921</v>
      </c>
      <c r="M65" s="57">
        <f t="shared" si="47"/>
        <v>0.15094339622641509</v>
      </c>
      <c r="N65" s="57">
        <f t="shared" si="47"/>
        <v>0.13933236574746008</v>
      </c>
      <c r="O65" s="57">
        <f t="shared" si="47"/>
        <v>0.1293800539083558</v>
      </c>
      <c r="P65" s="57">
        <f t="shared" si="47"/>
        <v>0.12075471698113208</v>
      </c>
      <c r="Q65" s="57">
        <f t="shared" si="47"/>
        <v>0.11320754716981132</v>
      </c>
      <c r="R65" s="57">
        <f t="shared" si="47"/>
        <v>0.10654827968923418</v>
      </c>
      <c r="S65" s="57">
        <f t="shared" si="47"/>
        <v>0.10062893081761007</v>
      </c>
      <c r="T65" s="57">
        <f t="shared" si="47"/>
        <v>9.5332671300893748E-2</v>
      </c>
      <c r="U65" s="57">
        <f t="shared" si="47"/>
        <v>9.056603773584905E-2</v>
      </c>
      <c r="V65" s="57">
        <f t="shared" si="47"/>
        <v>8.6253369272237201E-2</v>
      </c>
      <c r="W65" s="57">
        <f t="shared" si="47"/>
        <v>8.2332761578044603E-2</v>
      </c>
      <c r="X65" s="57">
        <f t="shared" si="47"/>
        <v>7.8753076292042659E-2</v>
      </c>
      <c r="Y65" s="57">
        <f t="shared" si="47"/>
        <v>7.5471698113207544E-2</v>
      </c>
      <c r="Z65" s="57">
        <f t="shared" si="47"/>
        <v>7.2452830188679249E-2</v>
      </c>
      <c r="AA65" s="57">
        <f t="shared" si="47"/>
        <v>6.966618287373004E-2</v>
      </c>
      <c r="AB65" s="57">
        <f t="shared" si="47"/>
        <v>6.7085953878406712E-2</v>
      </c>
      <c r="AC65" s="57">
        <f t="shared" si="47"/>
        <v>6.4690026954177901E-2</v>
      </c>
      <c r="AD65" s="57">
        <f t="shared" si="47"/>
        <v>6.2459336369551074E-2</v>
      </c>
      <c r="AE65" s="57">
        <f t="shared" si="47"/>
        <v>6.0377358490566038E-2</v>
      </c>
      <c r="AF65" s="57">
        <f t="shared" si="47"/>
        <v>5.8429701765063909E-2</v>
      </c>
      <c r="AG65" s="57">
        <f t="shared" si="47"/>
        <v>5.6603773584905662E-2</v>
      </c>
      <c r="AH65" s="57">
        <f t="shared" si="47"/>
        <v>5.4888507718696397E-2</v>
      </c>
      <c r="AI65" s="57">
        <f t="shared" si="47"/>
        <v>5.327413984461709E-2</v>
      </c>
      <c r="AJ65" s="57">
        <f t="shared" si="47"/>
        <v>5.1752021563342319E-2</v>
      </c>
      <c r="AK65" s="57">
        <f t="shared" si="47"/>
        <v>5.0314465408805034E-2</v>
      </c>
      <c r="AL65" s="57">
        <f t="shared" si="47"/>
        <v>4.8954614992350841E-2</v>
      </c>
      <c r="AM65" s="57">
        <f t="shared" si="47"/>
        <v>4.7666335650446874E-2</v>
      </c>
      <c r="AN65" s="57">
        <f t="shared" si="47"/>
        <v>4.6444121915820029E-2</v>
      </c>
      <c r="AO65" s="57">
        <f t="shared" si="47"/>
        <v>4.5283018867924525E-2</v>
      </c>
    </row>
    <row r="66" spans="2:78" x14ac:dyDescent="0.25">
      <c r="B66" s="58">
        <v>2700</v>
      </c>
      <c r="C66" s="57">
        <f t="shared" ref="C66:AO66" si="48">$F$5/(3600*(C13/1000)*($B$66/1000))</f>
        <v>0.88888888888888884</v>
      </c>
      <c r="D66" s="57">
        <f t="shared" si="48"/>
        <v>0.59259259259259256</v>
      </c>
      <c r="E66" s="57">
        <f t="shared" si="48"/>
        <v>0.44444444444444442</v>
      </c>
      <c r="F66" s="57">
        <f t="shared" si="48"/>
        <v>0.35555555555555557</v>
      </c>
      <c r="G66" s="57">
        <f t="shared" si="48"/>
        <v>0.29629629629629628</v>
      </c>
      <c r="H66" s="57">
        <f t="shared" si="48"/>
        <v>0.25396825396825395</v>
      </c>
      <c r="I66" s="57">
        <f t="shared" si="48"/>
        <v>0.22222222222222221</v>
      </c>
      <c r="J66" s="57">
        <f t="shared" si="48"/>
        <v>0.19753086419753085</v>
      </c>
      <c r="K66" s="57">
        <f t="shared" si="48"/>
        <v>0.17777777777777778</v>
      </c>
      <c r="L66" s="57">
        <f t="shared" si="48"/>
        <v>0.1616161616161616</v>
      </c>
      <c r="M66" s="57">
        <f t="shared" si="48"/>
        <v>0.14814814814814814</v>
      </c>
      <c r="N66" s="57">
        <f t="shared" si="48"/>
        <v>0.13675213675213677</v>
      </c>
      <c r="O66" s="57">
        <f t="shared" si="48"/>
        <v>0.12698412698412698</v>
      </c>
      <c r="P66" s="57">
        <f t="shared" si="48"/>
        <v>0.11851851851851851</v>
      </c>
      <c r="Q66" s="57">
        <f t="shared" si="48"/>
        <v>0.1111111111111111</v>
      </c>
      <c r="R66" s="57">
        <f t="shared" si="48"/>
        <v>0.10457516339869281</v>
      </c>
      <c r="S66" s="57">
        <f t="shared" si="48"/>
        <v>9.8765432098765427E-2</v>
      </c>
      <c r="T66" s="57">
        <f t="shared" si="48"/>
        <v>9.3567251461988299E-2</v>
      </c>
      <c r="U66" s="57">
        <f t="shared" si="48"/>
        <v>8.8888888888888892E-2</v>
      </c>
      <c r="V66" s="57">
        <f t="shared" si="48"/>
        <v>8.4656084656084651E-2</v>
      </c>
      <c r="W66" s="57">
        <f t="shared" si="48"/>
        <v>8.0808080808080801E-2</v>
      </c>
      <c r="X66" s="57">
        <f t="shared" si="48"/>
        <v>7.7294685990338161E-2</v>
      </c>
      <c r="Y66" s="57">
        <f t="shared" si="48"/>
        <v>7.407407407407407E-2</v>
      </c>
      <c r="Z66" s="57">
        <f t="shared" si="48"/>
        <v>7.1111111111111111E-2</v>
      </c>
      <c r="AA66" s="57">
        <f t="shared" si="48"/>
        <v>6.8376068376068383E-2</v>
      </c>
      <c r="AB66" s="57">
        <f t="shared" si="48"/>
        <v>6.584362139917696E-2</v>
      </c>
      <c r="AC66" s="57">
        <f t="shared" si="48"/>
        <v>6.3492063492063489E-2</v>
      </c>
      <c r="AD66" s="57">
        <f t="shared" si="48"/>
        <v>6.1302681992337155E-2</v>
      </c>
      <c r="AE66" s="57">
        <f t="shared" si="48"/>
        <v>5.9259259259259255E-2</v>
      </c>
      <c r="AF66" s="57">
        <f t="shared" si="48"/>
        <v>5.734767025089605E-2</v>
      </c>
      <c r="AG66" s="57">
        <f t="shared" si="48"/>
        <v>5.5555555555555552E-2</v>
      </c>
      <c r="AH66" s="57">
        <f t="shared" si="48"/>
        <v>5.3872053872053863E-2</v>
      </c>
      <c r="AI66" s="57">
        <f t="shared" si="48"/>
        <v>5.2287581699346407E-2</v>
      </c>
      <c r="AJ66" s="57">
        <f t="shared" si="48"/>
        <v>5.0793650793650794E-2</v>
      </c>
      <c r="AK66" s="57">
        <f t="shared" si="48"/>
        <v>4.9382716049382713E-2</v>
      </c>
      <c r="AL66" s="57">
        <f t="shared" si="48"/>
        <v>4.8048048048048048E-2</v>
      </c>
      <c r="AM66" s="57">
        <f t="shared" si="48"/>
        <v>4.6783625730994149E-2</v>
      </c>
      <c r="AN66" s="57">
        <f t="shared" si="48"/>
        <v>4.5584045584045586E-2</v>
      </c>
      <c r="AO66" s="57">
        <f t="shared" si="48"/>
        <v>4.4444444444444446E-2</v>
      </c>
    </row>
    <row r="67" spans="2:78" x14ac:dyDescent="0.25">
      <c r="B67" s="58">
        <v>2750</v>
      </c>
      <c r="C67" s="57">
        <f t="shared" ref="C67:AO67" si="49">$F$5/(3600*(C13/1000)*($B$67/1000))</f>
        <v>0.87272727272727268</v>
      </c>
      <c r="D67" s="57">
        <f t="shared" si="49"/>
        <v>0.58181818181818179</v>
      </c>
      <c r="E67" s="57">
        <f t="shared" si="49"/>
        <v>0.43636363636363634</v>
      </c>
      <c r="F67" s="57">
        <f t="shared" si="49"/>
        <v>0.34909090909090912</v>
      </c>
      <c r="G67" s="57">
        <f t="shared" si="49"/>
        <v>0.29090909090909089</v>
      </c>
      <c r="H67" s="57">
        <f t="shared" si="49"/>
        <v>0.24935064935064935</v>
      </c>
      <c r="I67" s="57">
        <f t="shared" si="49"/>
        <v>0.21818181818181817</v>
      </c>
      <c r="J67" s="57">
        <f t="shared" si="49"/>
        <v>0.19393939393939394</v>
      </c>
      <c r="K67" s="57">
        <f t="shared" si="49"/>
        <v>0.17454545454545456</v>
      </c>
      <c r="L67" s="57">
        <f t="shared" si="49"/>
        <v>0.15867768595041321</v>
      </c>
      <c r="M67" s="57">
        <f t="shared" si="49"/>
        <v>0.14545454545454545</v>
      </c>
      <c r="N67" s="57">
        <f t="shared" si="49"/>
        <v>0.13426573426573427</v>
      </c>
      <c r="O67" s="57">
        <f t="shared" si="49"/>
        <v>0.12467532467532468</v>
      </c>
      <c r="P67" s="57">
        <f t="shared" si="49"/>
        <v>0.11636363636363636</v>
      </c>
      <c r="Q67" s="57">
        <f t="shared" si="49"/>
        <v>0.10909090909090909</v>
      </c>
      <c r="R67" s="57">
        <f t="shared" si="49"/>
        <v>0.10267379679144385</v>
      </c>
      <c r="S67" s="57">
        <f t="shared" si="49"/>
        <v>9.696969696969697E-2</v>
      </c>
      <c r="T67" s="57">
        <f t="shared" si="49"/>
        <v>9.186602870813397E-2</v>
      </c>
      <c r="U67" s="57">
        <f t="shared" si="49"/>
        <v>8.727272727272728E-2</v>
      </c>
      <c r="V67" s="57">
        <f t="shared" si="49"/>
        <v>8.3116883116883117E-2</v>
      </c>
      <c r="W67" s="57">
        <f t="shared" si="49"/>
        <v>7.9338842975206603E-2</v>
      </c>
      <c r="X67" s="57">
        <f t="shared" si="49"/>
        <v>7.5889328063241113E-2</v>
      </c>
      <c r="Y67" s="57">
        <f t="shared" si="49"/>
        <v>7.2727272727272724E-2</v>
      </c>
      <c r="Z67" s="57">
        <f t="shared" si="49"/>
        <v>6.9818181818181821E-2</v>
      </c>
      <c r="AA67" s="57">
        <f t="shared" si="49"/>
        <v>6.7132867132867133E-2</v>
      </c>
      <c r="AB67" s="57">
        <f t="shared" si="49"/>
        <v>6.4646464646464646E-2</v>
      </c>
      <c r="AC67" s="57">
        <f t="shared" si="49"/>
        <v>6.2337662337662338E-2</v>
      </c>
      <c r="AD67" s="57">
        <f t="shared" si="49"/>
        <v>6.0188087774294671E-2</v>
      </c>
      <c r="AE67" s="57">
        <f t="shared" si="49"/>
        <v>5.8181818181818182E-2</v>
      </c>
      <c r="AF67" s="57">
        <f t="shared" si="49"/>
        <v>5.6304985337243402E-2</v>
      </c>
      <c r="AG67" s="57">
        <f t="shared" si="49"/>
        <v>5.4545454545454543E-2</v>
      </c>
      <c r="AH67" s="57">
        <f t="shared" si="49"/>
        <v>5.2892561983471073E-2</v>
      </c>
      <c r="AI67" s="57">
        <f t="shared" si="49"/>
        <v>5.1336898395721926E-2</v>
      </c>
      <c r="AJ67" s="57">
        <f t="shared" si="49"/>
        <v>4.987012987012987E-2</v>
      </c>
      <c r="AK67" s="57">
        <f t="shared" si="49"/>
        <v>4.8484848484848485E-2</v>
      </c>
      <c r="AL67" s="57">
        <f t="shared" si="49"/>
        <v>4.7174447174447173E-2</v>
      </c>
      <c r="AM67" s="57">
        <f t="shared" si="49"/>
        <v>4.5933014354066985E-2</v>
      </c>
      <c r="AN67" s="57">
        <f t="shared" si="49"/>
        <v>4.4755244755244755E-2</v>
      </c>
      <c r="AO67" s="57">
        <f t="shared" si="49"/>
        <v>4.363636363636364E-2</v>
      </c>
    </row>
    <row r="68" spans="2:78" x14ac:dyDescent="0.25">
      <c r="B68" s="58">
        <v>2800</v>
      </c>
      <c r="C68" s="57">
        <f t="shared" ref="C68:AO68" si="50">$F$5/(3600*(C13/1000)*($B$68/1000))</f>
        <v>0.85714285714285721</v>
      </c>
      <c r="D68" s="57">
        <f t="shared" si="50"/>
        <v>0.5714285714285714</v>
      </c>
      <c r="E68" s="57">
        <f t="shared" si="50"/>
        <v>0.4285714285714286</v>
      </c>
      <c r="F68" s="57">
        <f t="shared" si="50"/>
        <v>0.34285714285714286</v>
      </c>
      <c r="G68" s="57">
        <f t="shared" si="50"/>
        <v>0.2857142857142857</v>
      </c>
      <c r="H68" s="57">
        <f t="shared" si="50"/>
        <v>0.24489795918367346</v>
      </c>
      <c r="I68" s="57">
        <f t="shared" si="50"/>
        <v>0.2142857142857143</v>
      </c>
      <c r="J68" s="57">
        <f t="shared" si="50"/>
        <v>0.19047619047619047</v>
      </c>
      <c r="K68" s="57">
        <f t="shared" si="50"/>
        <v>0.17142857142857143</v>
      </c>
      <c r="L68" s="57">
        <f t="shared" si="50"/>
        <v>0.15584415584415584</v>
      </c>
      <c r="M68" s="57">
        <f t="shared" si="50"/>
        <v>0.14285714285714285</v>
      </c>
      <c r="N68" s="57">
        <f t="shared" si="50"/>
        <v>0.13186813186813187</v>
      </c>
      <c r="O68" s="57">
        <f t="shared" si="50"/>
        <v>0.12244897959183673</v>
      </c>
      <c r="P68" s="57">
        <f t="shared" si="50"/>
        <v>0.1142857142857143</v>
      </c>
      <c r="Q68" s="57">
        <f t="shared" si="50"/>
        <v>0.10714285714285715</v>
      </c>
      <c r="R68" s="57">
        <f t="shared" si="50"/>
        <v>0.10084033613445378</v>
      </c>
      <c r="S68" s="57">
        <f t="shared" si="50"/>
        <v>9.5238095238095233E-2</v>
      </c>
      <c r="T68" s="57">
        <f t="shared" si="50"/>
        <v>9.0225563909774431E-2</v>
      </c>
      <c r="U68" s="57">
        <f t="shared" si="50"/>
        <v>8.5714285714285715E-2</v>
      </c>
      <c r="V68" s="57">
        <f t="shared" si="50"/>
        <v>8.1632653061224483E-2</v>
      </c>
      <c r="W68" s="57">
        <f t="shared" si="50"/>
        <v>7.792207792207792E-2</v>
      </c>
      <c r="X68" s="57">
        <f t="shared" si="50"/>
        <v>7.4534161490683232E-2</v>
      </c>
      <c r="Y68" s="57">
        <f t="shared" si="50"/>
        <v>7.1428571428571425E-2</v>
      </c>
      <c r="Z68" s="57">
        <f t="shared" si="50"/>
        <v>6.8571428571428575E-2</v>
      </c>
      <c r="AA68" s="57">
        <f t="shared" si="50"/>
        <v>6.5934065934065936E-2</v>
      </c>
      <c r="AB68" s="57">
        <f t="shared" si="50"/>
        <v>6.3492063492063489E-2</v>
      </c>
      <c r="AC68" s="57">
        <f t="shared" si="50"/>
        <v>6.1224489795918366E-2</v>
      </c>
      <c r="AD68" s="57">
        <f t="shared" si="50"/>
        <v>5.9113300492610842E-2</v>
      </c>
      <c r="AE68" s="57">
        <f t="shared" si="50"/>
        <v>5.7142857142857148E-2</v>
      </c>
      <c r="AF68" s="57">
        <f t="shared" si="50"/>
        <v>5.5299539170506916E-2</v>
      </c>
      <c r="AG68" s="57">
        <f t="shared" si="50"/>
        <v>5.3571428571428575E-2</v>
      </c>
      <c r="AH68" s="57">
        <f t="shared" si="50"/>
        <v>5.1948051948051951E-2</v>
      </c>
      <c r="AI68" s="57">
        <f t="shared" si="50"/>
        <v>5.0420168067226892E-2</v>
      </c>
      <c r="AJ68" s="57">
        <f t="shared" si="50"/>
        <v>4.8979591836734691E-2</v>
      </c>
      <c r="AK68" s="57">
        <f t="shared" si="50"/>
        <v>4.7619047619047616E-2</v>
      </c>
      <c r="AL68" s="57">
        <f t="shared" si="50"/>
        <v>4.633204633204633E-2</v>
      </c>
      <c r="AM68" s="57">
        <f t="shared" si="50"/>
        <v>4.5112781954887216E-2</v>
      </c>
      <c r="AN68" s="57">
        <f t="shared" si="50"/>
        <v>4.3956043956043959E-2</v>
      </c>
      <c r="AO68" s="57">
        <f t="shared" si="50"/>
        <v>4.2857142857142858E-2</v>
      </c>
    </row>
    <row r="69" spans="2:78" x14ac:dyDescent="0.25">
      <c r="B69" s="58">
        <v>2850</v>
      </c>
      <c r="C69" s="57">
        <f t="shared" ref="C69:AO69" si="51">$F$5/(3600*(C13/1000)*($B$69/1000))</f>
        <v>0.84210526315789469</v>
      </c>
      <c r="D69" s="57">
        <f t="shared" si="51"/>
        <v>0.56140350877192979</v>
      </c>
      <c r="E69" s="57">
        <f t="shared" si="51"/>
        <v>0.42105263157894735</v>
      </c>
      <c r="F69" s="57">
        <f t="shared" si="51"/>
        <v>0.33684210526315789</v>
      </c>
      <c r="G69" s="57">
        <f t="shared" si="51"/>
        <v>0.2807017543859649</v>
      </c>
      <c r="H69" s="57">
        <f t="shared" si="51"/>
        <v>0.24060150375939848</v>
      </c>
      <c r="I69" s="57">
        <f t="shared" si="51"/>
        <v>0.21052631578947367</v>
      </c>
      <c r="J69" s="57">
        <f t="shared" si="51"/>
        <v>0.1871345029239766</v>
      </c>
      <c r="K69" s="57">
        <f t="shared" si="51"/>
        <v>0.16842105263157894</v>
      </c>
      <c r="L69" s="57">
        <f t="shared" si="51"/>
        <v>0.15311004784688992</v>
      </c>
      <c r="M69" s="57">
        <f t="shared" si="51"/>
        <v>0.14035087719298245</v>
      </c>
      <c r="N69" s="57">
        <f t="shared" si="51"/>
        <v>0.12955465587044535</v>
      </c>
      <c r="O69" s="57">
        <f t="shared" si="51"/>
        <v>0.12030075187969924</v>
      </c>
      <c r="P69" s="57">
        <f t="shared" si="51"/>
        <v>0.11228070175438597</v>
      </c>
      <c r="Q69" s="57">
        <f t="shared" si="51"/>
        <v>0.10526315789473684</v>
      </c>
      <c r="R69" s="57">
        <f t="shared" si="51"/>
        <v>9.9071207430340563E-2</v>
      </c>
      <c r="S69" s="57">
        <f t="shared" si="51"/>
        <v>9.3567251461988299E-2</v>
      </c>
      <c r="T69" s="57">
        <f t="shared" si="51"/>
        <v>8.8642659279778394E-2</v>
      </c>
      <c r="U69" s="57">
        <f t="shared" si="51"/>
        <v>8.4210526315789472E-2</v>
      </c>
      <c r="V69" s="57">
        <f t="shared" si="51"/>
        <v>8.0200501253132828E-2</v>
      </c>
      <c r="W69" s="57">
        <f t="shared" si="51"/>
        <v>7.6555023923444959E-2</v>
      </c>
      <c r="X69" s="57">
        <f t="shared" si="51"/>
        <v>7.3226544622425629E-2</v>
      </c>
      <c r="Y69" s="57">
        <f t="shared" si="51"/>
        <v>7.0175438596491224E-2</v>
      </c>
      <c r="Z69" s="57">
        <f t="shared" si="51"/>
        <v>6.7368421052631577E-2</v>
      </c>
      <c r="AA69" s="57">
        <f t="shared" si="51"/>
        <v>6.4777327935222673E-2</v>
      </c>
      <c r="AB69" s="57">
        <f t="shared" si="51"/>
        <v>6.2378167641325533E-2</v>
      </c>
      <c r="AC69" s="57">
        <f t="shared" si="51"/>
        <v>6.0150375939849621E-2</v>
      </c>
      <c r="AD69" s="57">
        <f t="shared" si="51"/>
        <v>5.8076225045372049E-2</v>
      </c>
      <c r="AE69" s="57">
        <f t="shared" si="51"/>
        <v>5.6140350877192984E-2</v>
      </c>
      <c r="AF69" s="57">
        <f t="shared" si="51"/>
        <v>5.4329371816638369E-2</v>
      </c>
      <c r="AG69" s="57">
        <f t="shared" si="51"/>
        <v>5.2631578947368418E-2</v>
      </c>
      <c r="AH69" s="57">
        <f t="shared" si="51"/>
        <v>5.1036682615629984E-2</v>
      </c>
      <c r="AI69" s="57">
        <f t="shared" si="51"/>
        <v>4.9535603715170282E-2</v>
      </c>
      <c r="AJ69" s="57">
        <f t="shared" si="51"/>
        <v>4.8120300751879702E-2</v>
      </c>
      <c r="AK69" s="57">
        <f t="shared" si="51"/>
        <v>4.6783625730994149E-2</v>
      </c>
      <c r="AL69" s="57">
        <f t="shared" si="51"/>
        <v>4.5519203413940258E-2</v>
      </c>
      <c r="AM69" s="57">
        <f t="shared" si="51"/>
        <v>4.4321329639889197E-2</v>
      </c>
      <c r="AN69" s="57">
        <f t="shared" si="51"/>
        <v>4.3184885290148446E-2</v>
      </c>
      <c r="AO69" s="57">
        <f t="shared" si="51"/>
        <v>4.2105263157894736E-2</v>
      </c>
    </row>
    <row r="70" spans="2:78" x14ac:dyDescent="0.25">
      <c r="B70" s="58">
        <v>2900</v>
      </c>
      <c r="C70" s="57">
        <f t="shared" ref="C70:AO70" si="52">$F$5/(3600*(C13/1000)*($B$70/1000))</f>
        <v>0.82758620689655171</v>
      </c>
      <c r="D70" s="57">
        <f t="shared" si="52"/>
        <v>0.55172413793103448</v>
      </c>
      <c r="E70" s="57">
        <f t="shared" si="52"/>
        <v>0.41379310344827586</v>
      </c>
      <c r="F70" s="57">
        <f t="shared" si="52"/>
        <v>0.33103448275862069</v>
      </c>
      <c r="G70" s="57">
        <f t="shared" si="52"/>
        <v>0.27586206896551724</v>
      </c>
      <c r="H70" s="57">
        <f t="shared" si="52"/>
        <v>0.23645320197044334</v>
      </c>
      <c r="I70" s="57">
        <f t="shared" si="52"/>
        <v>0.20689655172413793</v>
      </c>
      <c r="J70" s="57">
        <f t="shared" si="52"/>
        <v>0.18390804597701149</v>
      </c>
      <c r="K70" s="57">
        <f t="shared" si="52"/>
        <v>0.16551724137931034</v>
      </c>
      <c r="L70" s="57">
        <f t="shared" si="52"/>
        <v>0.15047021943573666</v>
      </c>
      <c r="M70" s="57">
        <f t="shared" si="52"/>
        <v>0.13793103448275862</v>
      </c>
      <c r="N70" s="57">
        <f t="shared" si="52"/>
        <v>0.1273209549071618</v>
      </c>
      <c r="O70" s="57">
        <f t="shared" si="52"/>
        <v>0.11822660098522167</v>
      </c>
      <c r="P70" s="57">
        <f t="shared" si="52"/>
        <v>0.1103448275862069</v>
      </c>
      <c r="Q70" s="57">
        <f t="shared" si="52"/>
        <v>0.10344827586206896</v>
      </c>
      <c r="R70" s="57">
        <f t="shared" si="52"/>
        <v>9.7363083164300201E-2</v>
      </c>
      <c r="S70" s="57">
        <f t="shared" si="52"/>
        <v>9.1954022988505746E-2</v>
      </c>
      <c r="T70" s="57">
        <f t="shared" si="52"/>
        <v>8.7114337568058073E-2</v>
      </c>
      <c r="U70" s="57">
        <f t="shared" si="52"/>
        <v>8.2758620689655171E-2</v>
      </c>
      <c r="V70" s="57">
        <f t="shared" si="52"/>
        <v>7.8817733990147784E-2</v>
      </c>
      <c r="W70" s="57">
        <f t="shared" si="52"/>
        <v>7.5235109717868329E-2</v>
      </c>
      <c r="X70" s="57">
        <f t="shared" si="52"/>
        <v>7.1964017991004492E-2</v>
      </c>
      <c r="Y70" s="57">
        <f t="shared" si="52"/>
        <v>6.8965517241379309E-2</v>
      </c>
      <c r="Z70" s="57">
        <f t="shared" si="52"/>
        <v>6.620689655172414E-2</v>
      </c>
      <c r="AA70" s="57">
        <f t="shared" si="52"/>
        <v>6.3660477453580902E-2</v>
      </c>
      <c r="AB70" s="57">
        <f t="shared" si="52"/>
        <v>6.1302681992337162E-2</v>
      </c>
      <c r="AC70" s="57">
        <f t="shared" si="52"/>
        <v>5.9113300492610835E-2</v>
      </c>
      <c r="AD70" s="57">
        <f t="shared" si="52"/>
        <v>5.7074910820451845E-2</v>
      </c>
      <c r="AE70" s="57">
        <f t="shared" si="52"/>
        <v>5.5172413793103448E-2</v>
      </c>
      <c r="AF70" s="57">
        <f t="shared" si="52"/>
        <v>5.3392658509454953E-2</v>
      </c>
      <c r="AG70" s="57">
        <f t="shared" si="52"/>
        <v>5.1724137931034482E-2</v>
      </c>
      <c r="AH70" s="57">
        <f t="shared" si="52"/>
        <v>5.0156739811912224E-2</v>
      </c>
      <c r="AI70" s="57">
        <f t="shared" si="52"/>
        <v>4.8681541582150101E-2</v>
      </c>
      <c r="AJ70" s="57">
        <f t="shared" si="52"/>
        <v>4.7290640394088673E-2</v>
      </c>
      <c r="AK70" s="57">
        <f t="shared" si="52"/>
        <v>4.5977011494252873E-2</v>
      </c>
      <c r="AL70" s="57">
        <f t="shared" si="52"/>
        <v>4.4734389561975771E-2</v>
      </c>
      <c r="AM70" s="57">
        <f t="shared" si="52"/>
        <v>4.3557168784029036E-2</v>
      </c>
      <c r="AN70" s="57">
        <f t="shared" si="52"/>
        <v>4.2440318302387266E-2</v>
      </c>
      <c r="AO70" s="57">
        <f t="shared" si="52"/>
        <v>4.1379310344827586E-2</v>
      </c>
    </row>
    <row r="71" spans="2:78" x14ac:dyDescent="0.25">
      <c r="B71" s="58">
        <v>2950</v>
      </c>
      <c r="C71" s="57">
        <f t="shared" ref="C71:AO71" si="53">$F$5/(3600*(C13/1000)*($B$71/1000))</f>
        <v>0.81355932203389836</v>
      </c>
      <c r="D71" s="57">
        <f t="shared" si="53"/>
        <v>0.5423728813559322</v>
      </c>
      <c r="E71" s="57">
        <f t="shared" si="53"/>
        <v>0.40677966101694918</v>
      </c>
      <c r="F71" s="57">
        <f t="shared" si="53"/>
        <v>0.3254237288135593</v>
      </c>
      <c r="G71" s="57">
        <f t="shared" si="53"/>
        <v>0.2711864406779661</v>
      </c>
      <c r="H71" s="57">
        <f t="shared" si="53"/>
        <v>0.23244552058111381</v>
      </c>
      <c r="I71" s="57">
        <f t="shared" si="53"/>
        <v>0.20338983050847459</v>
      </c>
      <c r="J71" s="57">
        <f t="shared" si="53"/>
        <v>0.1807909604519774</v>
      </c>
      <c r="K71" s="57">
        <f t="shared" si="53"/>
        <v>0.16271186440677965</v>
      </c>
      <c r="L71" s="57">
        <f t="shared" si="53"/>
        <v>0.14791987673343604</v>
      </c>
      <c r="M71" s="57">
        <f t="shared" si="53"/>
        <v>0.13559322033898305</v>
      </c>
      <c r="N71" s="57">
        <f t="shared" si="53"/>
        <v>0.12516297262059975</v>
      </c>
      <c r="O71" s="57">
        <f t="shared" si="53"/>
        <v>0.11622276029055691</v>
      </c>
      <c r="P71" s="57">
        <f t="shared" si="53"/>
        <v>0.10847457627118642</v>
      </c>
      <c r="Q71" s="57">
        <f t="shared" si="53"/>
        <v>0.10169491525423729</v>
      </c>
      <c r="R71" s="57">
        <f t="shared" si="53"/>
        <v>9.5712861415752748E-2</v>
      </c>
      <c r="S71" s="57">
        <f t="shared" si="53"/>
        <v>9.03954802259887E-2</v>
      </c>
      <c r="T71" s="57">
        <f t="shared" si="53"/>
        <v>8.5637823371989288E-2</v>
      </c>
      <c r="U71" s="57">
        <f t="shared" si="53"/>
        <v>8.1355932203389825E-2</v>
      </c>
      <c r="V71" s="57">
        <f t="shared" si="53"/>
        <v>7.7481840193704604E-2</v>
      </c>
      <c r="W71" s="57">
        <f t="shared" si="53"/>
        <v>7.395993836671802E-2</v>
      </c>
      <c r="X71" s="57">
        <f t="shared" si="53"/>
        <v>7.0744288872512898E-2</v>
      </c>
      <c r="Y71" s="57">
        <f t="shared" si="53"/>
        <v>6.7796610169491525E-2</v>
      </c>
      <c r="Z71" s="57">
        <f t="shared" si="53"/>
        <v>6.5084745762711865E-2</v>
      </c>
      <c r="AA71" s="57">
        <f t="shared" si="53"/>
        <v>6.2581486310299875E-2</v>
      </c>
      <c r="AB71" s="57">
        <f t="shared" si="53"/>
        <v>6.0263653483992465E-2</v>
      </c>
      <c r="AC71" s="57">
        <f t="shared" si="53"/>
        <v>5.8111380145278453E-2</v>
      </c>
      <c r="AD71" s="57">
        <f t="shared" si="53"/>
        <v>5.6107539450613669E-2</v>
      </c>
      <c r="AE71" s="57">
        <f t="shared" si="53"/>
        <v>5.4237288135593212E-2</v>
      </c>
      <c r="AF71" s="57">
        <f t="shared" si="53"/>
        <v>5.2487698195735372E-2</v>
      </c>
      <c r="AG71" s="57">
        <f t="shared" si="53"/>
        <v>5.0847457627118647E-2</v>
      </c>
      <c r="AH71" s="57">
        <f t="shared" si="53"/>
        <v>4.930662557781202E-2</v>
      </c>
      <c r="AI71" s="57">
        <f t="shared" si="53"/>
        <v>4.7856430707876374E-2</v>
      </c>
      <c r="AJ71" s="57">
        <f t="shared" si="53"/>
        <v>4.6489104116222757E-2</v>
      </c>
      <c r="AK71" s="57">
        <f t="shared" si="53"/>
        <v>4.519774011299435E-2</v>
      </c>
      <c r="AL71" s="57">
        <f t="shared" si="53"/>
        <v>4.3976179569399906E-2</v>
      </c>
      <c r="AM71" s="57">
        <f t="shared" si="53"/>
        <v>4.2818911685994644E-2</v>
      </c>
      <c r="AN71" s="57">
        <f t="shared" si="53"/>
        <v>4.1720990873533245E-2</v>
      </c>
      <c r="AO71" s="57">
        <f t="shared" si="53"/>
        <v>4.0677966101694912E-2</v>
      </c>
    </row>
    <row r="72" spans="2:78" x14ac:dyDescent="0.25">
      <c r="B72" s="58">
        <v>3000</v>
      </c>
      <c r="C72" s="57">
        <f t="shared" ref="C72:AO72" si="54">$F$5/(3600*(C13/1000)*($B$72/1000))</f>
        <v>0.8</v>
      </c>
      <c r="D72" s="57">
        <f t="shared" si="54"/>
        <v>0.53333333333333333</v>
      </c>
      <c r="E72" s="57">
        <f t="shared" si="54"/>
        <v>0.4</v>
      </c>
      <c r="F72" s="57">
        <f t="shared" si="54"/>
        <v>0.32</v>
      </c>
      <c r="G72" s="57">
        <f t="shared" si="54"/>
        <v>0.26666666666666666</v>
      </c>
      <c r="H72" s="57">
        <f t="shared" si="54"/>
        <v>0.22857142857142856</v>
      </c>
      <c r="I72" s="57">
        <f t="shared" si="54"/>
        <v>0.2</v>
      </c>
      <c r="J72" s="57">
        <f t="shared" si="54"/>
        <v>0.17777777777777778</v>
      </c>
      <c r="K72" s="57">
        <f t="shared" si="54"/>
        <v>0.16</v>
      </c>
      <c r="L72" s="57">
        <f t="shared" si="54"/>
        <v>0.14545454545454542</v>
      </c>
      <c r="M72" s="57">
        <f t="shared" si="54"/>
        <v>0.13333333333333333</v>
      </c>
      <c r="N72" s="57">
        <f t="shared" si="54"/>
        <v>0.12307692307692308</v>
      </c>
      <c r="O72" s="57">
        <f t="shared" si="54"/>
        <v>0.11428571428571428</v>
      </c>
      <c r="P72" s="57">
        <f t="shared" si="54"/>
        <v>0.10666666666666667</v>
      </c>
      <c r="Q72" s="57">
        <f t="shared" si="54"/>
        <v>0.1</v>
      </c>
      <c r="R72" s="57">
        <f t="shared" si="54"/>
        <v>9.4117647058823528E-2</v>
      </c>
      <c r="S72" s="57">
        <f t="shared" si="54"/>
        <v>8.8888888888888892E-2</v>
      </c>
      <c r="T72" s="57">
        <f t="shared" si="54"/>
        <v>8.4210526315789472E-2</v>
      </c>
      <c r="U72" s="57">
        <f t="shared" si="54"/>
        <v>0.08</v>
      </c>
      <c r="V72" s="57">
        <f t="shared" si="54"/>
        <v>7.6190476190476197E-2</v>
      </c>
      <c r="W72" s="57">
        <f t="shared" si="54"/>
        <v>7.272727272727271E-2</v>
      </c>
      <c r="X72" s="57">
        <f t="shared" si="54"/>
        <v>6.9565217391304349E-2</v>
      </c>
      <c r="Y72" s="57">
        <f t="shared" si="54"/>
        <v>6.6666666666666666E-2</v>
      </c>
      <c r="Z72" s="57">
        <f t="shared" si="54"/>
        <v>6.4000000000000001E-2</v>
      </c>
      <c r="AA72" s="57">
        <f t="shared" si="54"/>
        <v>6.1538461538461542E-2</v>
      </c>
      <c r="AB72" s="57">
        <f t="shared" si="54"/>
        <v>5.9259259259259262E-2</v>
      </c>
      <c r="AC72" s="57">
        <f t="shared" si="54"/>
        <v>5.7142857142857141E-2</v>
      </c>
      <c r="AD72" s="57">
        <f t="shared" si="54"/>
        <v>5.5172413793103448E-2</v>
      </c>
      <c r="AE72" s="57">
        <f t="shared" si="54"/>
        <v>5.3333333333333337E-2</v>
      </c>
      <c r="AF72" s="57">
        <f t="shared" si="54"/>
        <v>5.1612903225806452E-2</v>
      </c>
      <c r="AG72" s="57">
        <f t="shared" si="54"/>
        <v>0.05</v>
      </c>
      <c r="AH72" s="57">
        <f t="shared" si="54"/>
        <v>4.8484848484848485E-2</v>
      </c>
      <c r="AI72" s="57">
        <f t="shared" si="54"/>
        <v>4.7058823529411764E-2</v>
      </c>
      <c r="AJ72" s="57">
        <f t="shared" si="54"/>
        <v>4.5714285714285714E-2</v>
      </c>
      <c r="AK72" s="57">
        <f t="shared" si="54"/>
        <v>4.4444444444444446E-2</v>
      </c>
      <c r="AL72" s="57">
        <f t="shared" si="54"/>
        <v>4.3243243243243246E-2</v>
      </c>
      <c r="AM72" s="57">
        <f t="shared" si="54"/>
        <v>4.2105263157894736E-2</v>
      </c>
      <c r="AN72" s="57">
        <f t="shared" si="54"/>
        <v>4.1025641025641026E-2</v>
      </c>
      <c r="AO72" s="57">
        <f t="shared" si="54"/>
        <v>0.04</v>
      </c>
    </row>
    <row r="74" spans="2:78" hidden="1" x14ac:dyDescent="0.25">
      <c r="B74" s="56" t="e">
        <f ca="1">SUM(L3/1000*L4/1000)</f>
        <v>#VALUE!</v>
      </c>
      <c r="C74" s="56" t="str">
        <f ca="1">CELL("ADDRESS")</f>
        <v>$F$3</v>
      </c>
      <c r="D74" s="56" t="e">
        <f ca="1">1.3*((L3/1000)*(L4/1000))^0.625/((L3/1000)+(L4/1000))^0.25</f>
        <v>#VALUE!</v>
      </c>
      <c r="E74" s="56" t="e">
        <f ca="1">66.4*D74*F4</f>
        <v>#VALUE!</v>
      </c>
      <c r="F74" s="56" t="e">
        <f ca="1">MATCH(B74,D80:BZ80)</f>
        <v>#VALUE!</v>
      </c>
      <c r="G74" s="56">
        <f>MATCH(F3/1000,C81:C235)</f>
        <v>53</v>
      </c>
    </row>
    <row r="75" spans="2:78" hidden="1" x14ac:dyDescent="0.25"/>
    <row r="76" spans="2:78" s="125" customFormat="1" ht="11.5" hidden="1" x14ac:dyDescent="0.25"/>
    <row r="77" spans="2:78" s="139" customFormat="1" ht="10" hidden="1" x14ac:dyDescent="0.2">
      <c r="B77" s="137"/>
      <c r="C77" s="137"/>
      <c r="D77" s="138">
        <v>1</v>
      </c>
      <c r="E77" s="138">
        <v>2</v>
      </c>
      <c r="F77" s="138">
        <v>3</v>
      </c>
      <c r="G77" s="138">
        <v>4</v>
      </c>
      <c r="H77" s="138">
        <v>5</v>
      </c>
      <c r="I77" s="138">
        <v>6</v>
      </c>
      <c r="J77" s="138">
        <v>7</v>
      </c>
      <c r="K77" s="138">
        <v>8</v>
      </c>
      <c r="L77" s="138">
        <v>9</v>
      </c>
      <c r="M77" s="138">
        <v>10</v>
      </c>
      <c r="N77" s="138">
        <v>11</v>
      </c>
      <c r="O77" s="138">
        <v>12</v>
      </c>
      <c r="P77" s="138">
        <v>13</v>
      </c>
      <c r="Q77" s="138">
        <v>14</v>
      </c>
      <c r="R77" s="138">
        <v>15</v>
      </c>
      <c r="S77" s="138">
        <v>16</v>
      </c>
      <c r="T77" s="138">
        <v>17</v>
      </c>
      <c r="U77" s="138">
        <v>18</v>
      </c>
      <c r="V77" s="138">
        <v>19</v>
      </c>
      <c r="W77" s="138">
        <v>20</v>
      </c>
      <c r="X77" s="138">
        <v>21</v>
      </c>
      <c r="Y77" s="138">
        <v>22</v>
      </c>
      <c r="Z77" s="138">
        <v>23</v>
      </c>
      <c r="AA77" s="138">
        <v>24</v>
      </c>
      <c r="AB77" s="138">
        <v>25</v>
      </c>
      <c r="AC77" s="138">
        <v>26</v>
      </c>
      <c r="AD77" s="138">
        <v>27</v>
      </c>
      <c r="AE77" s="138">
        <v>28</v>
      </c>
      <c r="AF77" s="138">
        <v>29</v>
      </c>
      <c r="AG77" s="138">
        <v>30</v>
      </c>
      <c r="AH77" s="138">
        <v>31</v>
      </c>
      <c r="AI77" s="138">
        <v>32</v>
      </c>
      <c r="AJ77" s="138">
        <v>33</v>
      </c>
      <c r="AK77" s="138">
        <v>34</v>
      </c>
      <c r="AL77" s="138">
        <v>35</v>
      </c>
      <c r="AM77" s="138">
        <v>36</v>
      </c>
      <c r="AN77" s="138">
        <v>37</v>
      </c>
      <c r="AO77" s="138">
        <v>38</v>
      </c>
      <c r="AP77" s="138">
        <v>39</v>
      </c>
      <c r="AQ77" s="138">
        <v>40</v>
      </c>
      <c r="AR77" s="138">
        <v>41</v>
      </c>
      <c r="AS77" s="138">
        <v>42</v>
      </c>
      <c r="AT77" s="138">
        <v>43</v>
      </c>
      <c r="AU77" s="138">
        <v>44</v>
      </c>
      <c r="AV77" s="138">
        <v>45</v>
      </c>
      <c r="AW77" s="138">
        <v>46</v>
      </c>
      <c r="AX77" s="138">
        <v>47</v>
      </c>
      <c r="AY77" s="138">
        <v>48</v>
      </c>
      <c r="AZ77" s="138">
        <v>49</v>
      </c>
      <c r="BA77" s="138">
        <v>50</v>
      </c>
      <c r="BB77" s="138">
        <v>51</v>
      </c>
      <c r="BC77" s="138">
        <v>52</v>
      </c>
      <c r="BD77" s="138">
        <v>53</v>
      </c>
      <c r="BE77" s="138">
        <v>54</v>
      </c>
      <c r="BF77" s="138">
        <v>55</v>
      </c>
      <c r="BG77" s="138">
        <v>56</v>
      </c>
      <c r="BH77" s="138">
        <v>57</v>
      </c>
      <c r="BI77" s="138">
        <v>58</v>
      </c>
      <c r="BJ77" s="138">
        <v>59</v>
      </c>
      <c r="BK77" s="138">
        <v>60</v>
      </c>
      <c r="BL77" s="138">
        <v>61</v>
      </c>
      <c r="BM77" s="138">
        <v>62</v>
      </c>
      <c r="BN77" s="138">
        <v>63</v>
      </c>
      <c r="BO77" s="138">
        <v>64</v>
      </c>
      <c r="BP77" s="138">
        <v>65</v>
      </c>
      <c r="BQ77" s="138">
        <v>66</v>
      </c>
      <c r="BR77" s="138">
        <v>67</v>
      </c>
      <c r="BS77" s="138">
        <v>68</v>
      </c>
      <c r="BT77" s="138">
        <v>69</v>
      </c>
      <c r="BU77" s="138">
        <v>70</v>
      </c>
      <c r="BV77" s="138">
        <v>71</v>
      </c>
      <c r="BW77" s="138">
        <v>72</v>
      </c>
      <c r="BX77" s="138">
        <v>73</v>
      </c>
      <c r="BY77" s="138">
        <v>74</v>
      </c>
      <c r="BZ77" s="138">
        <v>75</v>
      </c>
    </row>
    <row r="78" spans="2:78" s="139" customFormat="1" ht="10.5" hidden="1" x14ac:dyDescent="0.25">
      <c r="B78" s="137"/>
      <c r="C78" s="140" t="s">
        <v>107</v>
      </c>
      <c r="D78" s="141">
        <v>70</v>
      </c>
      <c r="E78" s="141">
        <v>75</v>
      </c>
      <c r="F78" s="141">
        <v>80</v>
      </c>
      <c r="G78" s="141">
        <v>85</v>
      </c>
      <c r="H78" s="141">
        <v>90</v>
      </c>
      <c r="I78" s="141">
        <v>95</v>
      </c>
      <c r="J78" s="141">
        <v>100</v>
      </c>
      <c r="K78" s="141">
        <v>110</v>
      </c>
      <c r="L78" s="141">
        <v>120</v>
      </c>
      <c r="M78" s="141">
        <v>130</v>
      </c>
      <c r="N78" s="141">
        <v>140</v>
      </c>
      <c r="O78" s="141">
        <v>150</v>
      </c>
      <c r="P78" s="141">
        <v>160</v>
      </c>
      <c r="Q78" s="141">
        <v>170</v>
      </c>
      <c r="R78" s="141">
        <v>180</v>
      </c>
      <c r="S78" s="141">
        <v>190</v>
      </c>
      <c r="T78" s="141">
        <v>200</v>
      </c>
      <c r="U78" s="141">
        <v>225</v>
      </c>
      <c r="V78" s="141">
        <v>250</v>
      </c>
      <c r="W78" s="141">
        <v>275</v>
      </c>
      <c r="X78" s="141">
        <v>300</v>
      </c>
      <c r="Y78" s="141">
        <v>325</v>
      </c>
      <c r="Z78" s="141">
        <v>350</v>
      </c>
      <c r="AA78" s="141">
        <v>375</v>
      </c>
      <c r="AB78" s="141">
        <v>400</v>
      </c>
      <c r="AC78" s="141">
        <v>425</v>
      </c>
      <c r="AD78" s="141">
        <v>450</v>
      </c>
      <c r="AE78" s="141">
        <v>475</v>
      </c>
      <c r="AF78" s="141">
        <v>500</v>
      </c>
      <c r="AG78" s="141">
        <v>525</v>
      </c>
      <c r="AH78" s="141">
        <v>550</v>
      </c>
      <c r="AI78" s="141">
        <v>575</v>
      </c>
      <c r="AJ78" s="141">
        <v>600</v>
      </c>
      <c r="AK78" s="141">
        <v>625</v>
      </c>
      <c r="AL78" s="141">
        <v>650</v>
      </c>
      <c r="AM78" s="141">
        <v>675</v>
      </c>
      <c r="AN78" s="141">
        <v>700</v>
      </c>
      <c r="AO78" s="141">
        <v>725</v>
      </c>
      <c r="AP78" s="141">
        <v>750</v>
      </c>
      <c r="AQ78" s="141">
        <v>775</v>
      </c>
      <c r="AR78" s="141">
        <v>800</v>
      </c>
      <c r="AS78" s="141">
        <v>825</v>
      </c>
      <c r="AT78" s="141">
        <v>850</v>
      </c>
      <c r="AU78" s="141">
        <v>875</v>
      </c>
      <c r="AV78" s="141">
        <v>900</v>
      </c>
      <c r="AW78" s="141">
        <v>925</v>
      </c>
      <c r="AX78" s="141">
        <v>950</v>
      </c>
      <c r="AY78" s="141">
        <v>975</v>
      </c>
      <c r="AZ78" s="141">
        <v>1000</v>
      </c>
      <c r="BA78" s="141">
        <v>1050</v>
      </c>
      <c r="BB78" s="141">
        <v>1100</v>
      </c>
      <c r="BC78" s="141">
        <v>1150</v>
      </c>
      <c r="BD78" s="141">
        <v>1200</v>
      </c>
      <c r="BE78" s="141">
        <v>1250</v>
      </c>
      <c r="BF78" s="141">
        <v>1300</v>
      </c>
      <c r="BG78" s="141">
        <v>1350</v>
      </c>
      <c r="BH78" s="141">
        <v>1400</v>
      </c>
      <c r="BI78" s="141">
        <v>1450</v>
      </c>
      <c r="BJ78" s="141">
        <v>1500</v>
      </c>
      <c r="BK78" s="141">
        <v>1550</v>
      </c>
      <c r="BL78" s="141">
        <v>1600</v>
      </c>
      <c r="BM78" s="141">
        <v>1650</v>
      </c>
      <c r="BN78" s="141">
        <v>1700</v>
      </c>
      <c r="BO78" s="141">
        <v>1750</v>
      </c>
      <c r="BP78" s="141">
        <v>1800</v>
      </c>
      <c r="BQ78" s="141">
        <v>1850</v>
      </c>
      <c r="BR78" s="141">
        <v>1900</v>
      </c>
      <c r="BS78" s="141">
        <v>1950</v>
      </c>
      <c r="BT78" s="141">
        <v>2000</v>
      </c>
      <c r="BU78" s="141">
        <v>2050</v>
      </c>
      <c r="BV78" s="141">
        <v>2100</v>
      </c>
      <c r="BW78" s="141">
        <v>2150</v>
      </c>
      <c r="BX78" s="141">
        <v>2200</v>
      </c>
      <c r="BY78" s="141">
        <v>2250</v>
      </c>
      <c r="BZ78" s="141">
        <v>2300</v>
      </c>
    </row>
    <row r="79" spans="2:78" s="128" customFormat="1" ht="10" hidden="1" x14ac:dyDescent="0.2">
      <c r="B79" s="127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  <c r="AA79" s="129"/>
      <c r="AB79" s="129"/>
      <c r="AC79" s="129"/>
      <c r="AD79" s="129"/>
      <c r="AE79" s="129"/>
      <c r="AF79" s="129"/>
      <c r="AG79" s="129"/>
      <c r="AH79" s="129"/>
      <c r="AI79" s="129"/>
      <c r="AJ79" s="129"/>
      <c r="AK79" s="129"/>
      <c r="AL79" s="129"/>
      <c r="AM79" s="129"/>
      <c r="AN79" s="129"/>
      <c r="AO79" s="129"/>
      <c r="AP79" s="129"/>
      <c r="AQ79" s="129"/>
      <c r="AR79" s="129"/>
      <c r="AS79" s="129"/>
      <c r="AT79" s="129"/>
      <c r="AU79" s="129"/>
      <c r="AV79" s="129"/>
      <c r="AW79" s="129"/>
      <c r="AX79" s="129"/>
      <c r="AY79" s="129"/>
      <c r="AZ79" s="129"/>
      <c r="BA79" s="129"/>
      <c r="BB79" s="129"/>
      <c r="BC79" s="129"/>
      <c r="BD79" s="129"/>
      <c r="BE79" s="129"/>
      <c r="BF79" s="129"/>
      <c r="BG79" s="129"/>
      <c r="BH79" s="129"/>
      <c r="BI79" s="129"/>
      <c r="BJ79" s="129"/>
      <c r="BK79" s="129"/>
      <c r="BL79" s="129"/>
      <c r="BM79" s="129"/>
      <c r="BN79" s="129"/>
      <c r="BO79" s="129"/>
      <c r="BP79" s="129"/>
      <c r="BQ79" s="129"/>
      <c r="BR79" s="129"/>
      <c r="BS79" s="129"/>
      <c r="BT79" s="129"/>
      <c r="BU79" s="129"/>
      <c r="BV79" s="129"/>
      <c r="BW79" s="129"/>
      <c r="BX79" s="129"/>
      <c r="BY79" s="129"/>
      <c r="BZ79" s="129"/>
    </row>
    <row r="80" spans="2:78" s="135" customFormat="1" ht="10.5" hidden="1" x14ac:dyDescent="0.25">
      <c r="B80" s="134"/>
      <c r="C80" s="136"/>
      <c r="D80" s="126">
        <v>3.8E-3</v>
      </c>
      <c r="E80" s="126">
        <v>4.4000000000000003E-3</v>
      </c>
      <c r="F80" s="126">
        <v>5.0000000000000001E-3</v>
      </c>
      <c r="G80" s="126">
        <v>5.7000000000000002E-3</v>
      </c>
      <c r="H80" s="126">
        <v>6.4000000000000003E-3</v>
      </c>
      <c r="I80" s="126">
        <v>7.1000000000000004E-3</v>
      </c>
      <c r="J80" s="126">
        <v>7.9000000000000008E-3</v>
      </c>
      <c r="K80" s="126">
        <v>9.4999999999999998E-3</v>
      </c>
      <c r="L80" s="126">
        <v>1.1299999999999999E-2</v>
      </c>
      <c r="M80" s="126">
        <v>1.3299999999999999E-2</v>
      </c>
      <c r="N80" s="126">
        <v>1.54E-2</v>
      </c>
      <c r="O80" s="126">
        <v>1.77E-2</v>
      </c>
      <c r="P80" s="126">
        <v>2.01E-2</v>
      </c>
      <c r="Q80" s="126">
        <v>2.2700000000000001E-2</v>
      </c>
      <c r="R80" s="126">
        <v>2.5399999999999999E-2</v>
      </c>
      <c r="S80" s="126">
        <v>2.8400000000000002E-2</v>
      </c>
      <c r="T80" s="126">
        <v>3.1399999999999997E-2</v>
      </c>
      <c r="U80" s="126">
        <v>3.9800000000000002E-2</v>
      </c>
      <c r="V80" s="126">
        <v>4.9099999999999998E-2</v>
      </c>
      <c r="W80" s="126">
        <v>5.9400000000000001E-2</v>
      </c>
      <c r="X80" s="126">
        <v>7.0699999999999999E-2</v>
      </c>
      <c r="Y80" s="126">
        <v>8.3000000000000004E-2</v>
      </c>
      <c r="Z80" s="126">
        <v>9.6199999999999994E-2</v>
      </c>
      <c r="AA80" s="126">
        <v>0.1104</v>
      </c>
      <c r="AB80" s="126">
        <v>0.12570000000000001</v>
      </c>
      <c r="AC80" s="126">
        <v>0.1419</v>
      </c>
      <c r="AD80" s="126">
        <v>0.159</v>
      </c>
      <c r="AE80" s="126">
        <v>0.1772</v>
      </c>
      <c r="AF80" s="126">
        <v>0.1963</v>
      </c>
      <c r="AG80" s="126">
        <v>0.2165</v>
      </c>
      <c r="AH80" s="126">
        <v>0.23760000000000001</v>
      </c>
      <c r="AI80" s="126">
        <v>0.25969999999999999</v>
      </c>
      <c r="AJ80" s="126">
        <v>0.28270000000000001</v>
      </c>
      <c r="AK80" s="126">
        <v>0.30680000000000002</v>
      </c>
      <c r="AL80" s="126">
        <v>0.33179999999999998</v>
      </c>
      <c r="AM80" s="126">
        <v>0.35780000000000001</v>
      </c>
      <c r="AN80" s="126">
        <v>0.38479999999999998</v>
      </c>
      <c r="AO80" s="126">
        <v>0.4128</v>
      </c>
      <c r="AP80" s="126">
        <v>0.44180000000000003</v>
      </c>
      <c r="AQ80" s="126">
        <v>0.47170000000000001</v>
      </c>
      <c r="AR80" s="126">
        <v>0.50270000000000004</v>
      </c>
      <c r="AS80" s="126">
        <v>0.53459999999999996</v>
      </c>
      <c r="AT80" s="126">
        <v>0.5675</v>
      </c>
      <c r="AU80" s="126">
        <v>0.60129999999999995</v>
      </c>
      <c r="AV80" s="126">
        <v>0.63619999999999999</v>
      </c>
      <c r="AW80" s="126">
        <v>0.67200000000000004</v>
      </c>
      <c r="AX80" s="126">
        <v>0.70879999999999999</v>
      </c>
      <c r="AY80" s="126">
        <v>0.74660000000000004</v>
      </c>
      <c r="AZ80" s="126">
        <v>0.78539999999999999</v>
      </c>
      <c r="BA80" s="126">
        <v>0.8659</v>
      </c>
      <c r="BB80" s="126">
        <v>0.95030000000000003</v>
      </c>
      <c r="BC80" s="126">
        <v>1.0387</v>
      </c>
      <c r="BD80" s="126">
        <v>1.131</v>
      </c>
      <c r="BE80" s="126">
        <v>1.2272000000000001</v>
      </c>
      <c r="BF80" s="126">
        <v>1.3272999999999999</v>
      </c>
      <c r="BG80" s="126">
        <v>1.4314</v>
      </c>
      <c r="BH80" s="126">
        <v>1.5394000000000001</v>
      </c>
      <c r="BI80" s="126">
        <v>1.6513</v>
      </c>
      <c r="BJ80" s="126">
        <v>1.7670999999999999</v>
      </c>
      <c r="BK80" s="126">
        <v>1.8869</v>
      </c>
      <c r="BL80" s="126">
        <v>2.0106000000000002</v>
      </c>
      <c r="BM80" s="126">
        <v>2.1381999999999999</v>
      </c>
      <c r="BN80" s="126">
        <v>2.2698</v>
      </c>
      <c r="BO80" s="126">
        <v>2.4053</v>
      </c>
      <c r="BP80" s="126">
        <v>2.5447000000000002</v>
      </c>
      <c r="BQ80" s="126">
        <v>2.6880000000000002</v>
      </c>
      <c r="BR80" s="126">
        <v>2.8353000000000002</v>
      </c>
      <c r="BS80" s="126">
        <v>2.9864999999999999</v>
      </c>
      <c r="BT80" s="126">
        <v>3.1415999999999999</v>
      </c>
      <c r="BU80" s="126">
        <v>3.3006000000000002</v>
      </c>
      <c r="BV80" s="126">
        <v>3.4636</v>
      </c>
      <c r="BW80" s="126">
        <v>2.6305000000000001</v>
      </c>
      <c r="BX80" s="126">
        <v>3.8012999999999999</v>
      </c>
      <c r="BY80" s="126">
        <v>3.9761000000000002</v>
      </c>
      <c r="BZ80" s="126">
        <v>4.1547999999999998</v>
      </c>
    </row>
    <row r="81" spans="2:78" s="128" customFormat="1" ht="10.5" hidden="1" x14ac:dyDescent="0.25">
      <c r="B81" s="138">
        <v>1</v>
      </c>
      <c r="C81" s="130">
        <v>1.4999999999999999E-2</v>
      </c>
      <c r="D81" s="131">
        <v>4.4000000000000004</v>
      </c>
      <c r="E81" s="131">
        <v>3.2</v>
      </c>
      <c r="F81" s="131">
        <v>2.25</v>
      </c>
      <c r="G81" s="131">
        <v>1.65</v>
      </c>
      <c r="H81" s="131">
        <v>1.25</v>
      </c>
      <c r="I81" s="131">
        <v>0.95</v>
      </c>
      <c r="J81" s="131">
        <v>0.75</v>
      </c>
      <c r="K81" s="131">
        <v>0.45</v>
      </c>
      <c r="L81" s="131">
        <v>0.3</v>
      </c>
      <c r="M81" s="131">
        <v>0.2</v>
      </c>
      <c r="N81" s="131">
        <v>0.13500000000000001</v>
      </c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1"/>
      <c r="AO81" s="131"/>
      <c r="AP81" s="131"/>
      <c r="AQ81" s="131"/>
      <c r="AR81" s="131"/>
      <c r="AS81" s="131"/>
      <c r="AT81" s="131"/>
      <c r="AU81" s="131"/>
      <c r="AV81" s="131"/>
      <c r="AW81" s="131"/>
      <c r="AX81" s="131"/>
      <c r="AY81" s="131"/>
      <c r="AZ81" s="131"/>
      <c r="BA81" s="131"/>
      <c r="BB81" s="131"/>
      <c r="BC81" s="131"/>
      <c r="BD81" s="131"/>
      <c r="BE81" s="131"/>
      <c r="BF81" s="131"/>
      <c r="BG81" s="131"/>
      <c r="BH81" s="131"/>
      <c r="BI81" s="131"/>
      <c r="BJ81" s="131"/>
      <c r="BK81" s="131"/>
      <c r="BL81" s="131"/>
      <c r="BM81" s="131"/>
      <c r="BN81" s="131"/>
      <c r="BO81" s="131"/>
      <c r="BP81" s="131"/>
      <c r="BQ81" s="131"/>
      <c r="BR81" s="131"/>
      <c r="BS81" s="131"/>
      <c r="BT81" s="131"/>
      <c r="BU81" s="131"/>
      <c r="BV81" s="131"/>
      <c r="BW81" s="131"/>
      <c r="BX81" s="131"/>
      <c r="BY81" s="131"/>
      <c r="BZ81" s="131"/>
    </row>
    <row r="82" spans="2:78" s="128" customFormat="1" ht="10.5" hidden="1" x14ac:dyDescent="0.25">
      <c r="B82" s="138">
        <v>2</v>
      </c>
      <c r="C82" s="130">
        <v>1.6E-2</v>
      </c>
      <c r="D82" s="131">
        <v>5</v>
      </c>
      <c r="E82" s="131">
        <v>3.8</v>
      </c>
      <c r="F82" s="131">
        <v>2.6</v>
      </c>
      <c r="G82" s="131">
        <v>1.9</v>
      </c>
      <c r="H82" s="131">
        <v>1.4</v>
      </c>
      <c r="I82" s="131">
        <v>1.05</v>
      </c>
      <c r="J82" s="131">
        <v>0.85</v>
      </c>
      <c r="K82" s="131">
        <v>0.5</v>
      </c>
      <c r="L82" s="131">
        <v>0.33</v>
      </c>
      <c r="M82" s="131">
        <v>0.22</v>
      </c>
      <c r="N82" s="131">
        <v>0.15</v>
      </c>
      <c r="O82" s="131">
        <v>0.105</v>
      </c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1"/>
      <c r="AO82" s="131"/>
      <c r="AP82" s="131"/>
      <c r="AQ82" s="131"/>
      <c r="AR82" s="131"/>
      <c r="AS82" s="131"/>
      <c r="AT82" s="131"/>
      <c r="AU82" s="131"/>
      <c r="AV82" s="131"/>
      <c r="AW82" s="131"/>
      <c r="AX82" s="131"/>
      <c r="AY82" s="131"/>
      <c r="AZ82" s="131"/>
      <c r="BA82" s="131"/>
      <c r="BB82" s="131"/>
      <c r="BC82" s="131"/>
      <c r="BD82" s="131"/>
      <c r="BE82" s="131"/>
      <c r="BF82" s="131"/>
      <c r="BG82" s="131"/>
      <c r="BH82" s="131"/>
      <c r="BI82" s="131"/>
      <c r="BJ82" s="131"/>
      <c r="BK82" s="131"/>
      <c r="BL82" s="131"/>
      <c r="BM82" s="131"/>
      <c r="BN82" s="131"/>
      <c r="BO82" s="131"/>
      <c r="BP82" s="131"/>
      <c r="BQ82" s="131"/>
      <c r="BR82" s="131"/>
      <c r="BS82" s="131"/>
      <c r="BT82" s="131"/>
      <c r="BU82" s="131"/>
      <c r="BV82" s="131"/>
      <c r="BW82" s="131"/>
      <c r="BX82" s="131"/>
      <c r="BY82" s="131"/>
      <c r="BZ82" s="131"/>
    </row>
    <row r="83" spans="2:78" s="128" customFormat="1" ht="10.5" hidden="1" x14ac:dyDescent="0.25">
      <c r="B83" s="138">
        <v>3</v>
      </c>
      <c r="C83" s="130">
        <v>1.7000000000000001E-2</v>
      </c>
      <c r="D83" s="131">
        <v>5.5</v>
      </c>
      <c r="E83" s="131">
        <v>4</v>
      </c>
      <c r="F83" s="131">
        <v>2.9</v>
      </c>
      <c r="G83" s="131">
        <v>2.1</v>
      </c>
      <c r="H83" s="131">
        <v>1.6</v>
      </c>
      <c r="I83" s="131">
        <v>1.2</v>
      </c>
      <c r="J83" s="131">
        <v>0.95</v>
      </c>
      <c r="K83" s="131">
        <v>0.55000000000000004</v>
      </c>
      <c r="L83" s="131">
        <v>0.37</v>
      </c>
      <c r="M83" s="131">
        <v>0.24</v>
      </c>
      <c r="N83" s="131">
        <v>0.17</v>
      </c>
      <c r="O83" s="131">
        <v>0.12</v>
      </c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1"/>
      <c r="AO83" s="131"/>
      <c r="AP83" s="131"/>
      <c r="AQ83" s="131"/>
      <c r="AR83" s="131"/>
      <c r="AS83" s="131"/>
      <c r="AT83" s="131"/>
      <c r="AU83" s="131"/>
      <c r="AV83" s="131"/>
      <c r="AW83" s="131"/>
      <c r="AX83" s="131"/>
      <c r="AY83" s="131"/>
      <c r="AZ83" s="131"/>
      <c r="BA83" s="131"/>
      <c r="BB83" s="131"/>
      <c r="BC83" s="131"/>
      <c r="BD83" s="131"/>
      <c r="BE83" s="131"/>
      <c r="BF83" s="131"/>
      <c r="BG83" s="131"/>
      <c r="BH83" s="131"/>
      <c r="BI83" s="131"/>
      <c r="BJ83" s="131"/>
      <c r="BK83" s="131"/>
      <c r="BL83" s="131"/>
      <c r="BM83" s="131"/>
      <c r="BN83" s="131"/>
      <c r="BO83" s="131"/>
      <c r="BP83" s="131"/>
      <c r="BQ83" s="131"/>
      <c r="BR83" s="131"/>
      <c r="BS83" s="131"/>
      <c r="BT83" s="131"/>
      <c r="BU83" s="131"/>
      <c r="BV83" s="131"/>
      <c r="BW83" s="131"/>
      <c r="BX83" s="131"/>
      <c r="BY83" s="131"/>
      <c r="BZ83" s="131"/>
    </row>
    <row r="84" spans="2:78" s="128" customFormat="1" ht="10.5" hidden="1" x14ac:dyDescent="0.25">
      <c r="B84" s="138">
        <v>4</v>
      </c>
      <c r="C84" s="130">
        <v>1.7999999999999999E-2</v>
      </c>
      <c r="D84" s="131">
        <v>6</v>
      </c>
      <c r="E84" s="131">
        <v>4.5</v>
      </c>
      <c r="F84" s="131">
        <v>3.2</v>
      </c>
      <c r="G84" s="131">
        <v>2.4</v>
      </c>
      <c r="H84" s="131">
        <v>1.8</v>
      </c>
      <c r="I84" s="131">
        <v>1.35</v>
      </c>
      <c r="J84" s="131">
        <v>1.05</v>
      </c>
      <c r="K84" s="131">
        <v>6.5</v>
      </c>
      <c r="L84" s="131">
        <v>0.42499999999999999</v>
      </c>
      <c r="M84" s="131">
        <v>0.27</v>
      </c>
      <c r="N84" s="131">
        <v>0.19</v>
      </c>
      <c r="O84" s="131">
        <v>0.13500000000000001</v>
      </c>
      <c r="P84" s="131">
        <v>0.1</v>
      </c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1"/>
      <c r="AO84" s="131"/>
      <c r="AP84" s="131"/>
      <c r="AQ84" s="131"/>
      <c r="AR84" s="131"/>
      <c r="AS84" s="131"/>
      <c r="AT84" s="131"/>
      <c r="AU84" s="131"/>
      <c r="AV84" s="131"/>
      <c r="AW84" s="131"/>
      <c r="AX84" s="131"/>
      <c r="AY84" s="131"/>
      <c r="AZ84" s="131"/>
      <c r="BA84" s="131"/>
      <c r="BB84" s="131"/>
      <c r="BC84" s="131"/>
      <c r="BD84" s="131"/>
      <c r="BE84" s="131"/>
      <c r="BF84" s="131"/>
      <c r="BG84" s="131"/>
      <c r="BH84" s="131"/>
      <c r="BI84" s="131"/>
      <c r="BJ84" s="131"/>
      <c r="BK84" s="131"/>
      <c r="BL84" s="131"/>
      <c r="BM84" s="131"/>
      <c r="BN84" s="131"/>
      <c r="BO84" s="131"/>
      <c r="BP84" s="131"/>
      <c r="BQ84" s="131"/>
      <c r="BR84" s="131"/>
      <c r="BS84" s="131"/>
      <c r="BT84" s="131"/>
      <c r="BU84" s="131"/>
      <c r="BV84" s="131"/>
      <c r="BW84" s="131"/>
      <c r="BX84" s="131"/>
      <c r="BY84" s="131"/>
      <c r="BZ84" s="131"/>
    </row>
    <row r="85" spans="2:78" s="128" customFormat="1" ht="10.5" hidden="1" x14ac:dyDescent="0.25">
      <c r="B85" s="138">
        <v>5</v>
      </c>
      <c r="C85" s="130">
        <v>1.9E-2</v>
      </c>
      <c r="D85" s="131">
        <v>7</v>
      </c>
      <c r="E85" s="131">
        <v>5</v>
      </c>
      <c r="F85" s="131">
        <v>3.6</v>
      </c>
      <c r="G85" s="131">
        <v>2.6</v>
      </c>
      <c r="H85" s="131">
        <v>2</v>
      </c>
      <c r="I85" s="131">
        <v>1.5</v>
      </c>
      <c r="J85" s="131">
        <v>1.175</v>
      </c>
      <c r="K85" s="131">
        <v>0.7</v>
      </c>
      <c r="L85" s="131">
        <v>0.46</v>
      </c>
      <c r="M85" s="131">
        <v>0.3</v>
      </c>
      <c r="N85" s="131">
        <v>0.21</v>
      </c>
      <c r="O85" s="131">
        <v>0.15</v>
      </c>
      <c r="P85" s="131">
        <v>0.11</v>
      </c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1"/>
      <c r="AO85" s="131"/>
      <c r="AP85" s="131"/>
      <c r="AQ85" s="131"/>
      <c r="AR85" s="131"/>
      <c r="AS85" s="131"/>
      <c r="AT85" s="131"/>
      <c r="AU85" s="131"/>
      <c r="AV85" s="131"/>
      <c r="AW85" s="131"/>
      <c r="AX85" s="131"/>
      <c r="AY85" s="131"/>
      <c r="AZ85" s="131"/>
      <c r="BA85" s="131"/>
      <c r="BB85" s="131"/>
      <c r="BC85" s="131"/>
      <c r="BD85" s="131"/>
      <c r="BE85" s="131"/>
      <c r="BF85" s="131"/>
      <c r="BG85" s="131"/>
      <c r="BH85" s="131"/>
      <c r="BI85" s="131"/>
      <c r="BJ85" s="131"/>
      <c r="BK85" s="131"/>
      <c r="BL85" s="131"/>
      <c r="BM85" s="131"/>
      <c r="BN85" s="131"/>
      <c r="BO85" s="131"/>
      <c r="BP85" s="131"/>
      <c r="BQ85" s="131"/>
      <c r="BR85" s="131"/>
      <c r="BS85" s="131"/>
      <c r="BT85" s="131"/>
      <c r="BU85" s="131"/>
      <c r="BV85" s="131"/>
      <c r="BW85" s="131"/>
      <c r="BX85" s="131"/>
      <c r="BY85" s="131"/>
      <c r="BZ85" s="131"/>
    </row>
    <row r="86" spans="2:78" s="128" customFormat="1" ht="10.5" hidden="1" x14ac:dyDescent="0.25">
      <c r="B86" s="138">
        <v>6</v>
      </c>
      <c r="C86" s="130">
        <v>0.02</v>
      </c>
      <c r="D86" s="131">
        <v>7.5</v>
      </c>
      <c r="E86" s="131">
        <v>5.5</v>
      </c>
      <c r="F86" s="131">
        <v>4</v>
      </c>
      <c r="G86" s="131">
        <v>2.95</v>
      </c>
      <c r="H86" s="131">
        <v>2.2000000000000002</v>
      </c>
      <c r="I86" s="131">
        <v>1.6</v>
      </c>
      <c r="J86" s="131">
        <v>1.3</v>
      </c>
      <c r="K86" s="131">
        <v>0.75</v>
      </c>
      <c r="L86" s="131">
        <v>0.5</v>
      </c>
      <c r="M86" s="131">
        <v>0.33</v>
      </c>
      <c r="N86" s="131">
        <v>0.23</v>
      </c>
      <c r="O86" s="131">
        <v>0.16</v>
      </c>
      <c r="P86" s="131">
        <v>0.12</v>
      </c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1"/>
      <c r="AO86" s="131"/>
      <c r="AP86" s="131"/>
      <c r="AQ86" s="131"/>
      <c r="AR86" s="131"/>
      <c r="AS86" s="131"/>
      <c r="AT86" s="131"/>
      <c r="AU86" s="131"/>
      <c r="AV86" s="131"/>
      <c r="AW86" s="131"/>
      <c r="AX86" s="131"/>
      <c r="AY86" s="131"/>
      <c r="AZ86" s="131"/>
      <c r="BA86" s="131"/>
      <c r="BB86" s="131"/>
      <c r="BC86" s="131"/>
      <c r="BD86" s="131"/>
      <c r="BE86" s="131"/>
      <c r="BF86" s="131"/>
      <c r="BG86" s="131"/>
      <c r="BH86" s="131"/>
      <c r="BI86" s="131"/>
      <c r="BJ86" s="131"/>
      <c r="BK86" s="131"/>
      <c r="BL86" s="131"/>
      <c r="BM86" s="131"/>
      <c r="BN86" s="131"/>
      <c r="BO86" s="131"/>
      <c r="BP86" s="131"/>
      <c r="BQ86" s="131"/>
      <c r="BR86" s="131"/>
      <c r="BS86" s="131"/>
      <c r="BT86" s="131"/>
      <c r="BU86" s="131"/>
      <c r="BV86" s="131"/>
      <c r="BW86" s="131"/>
      <c r="BX86" s="131"/>
      <c r="BY86" s="131"/>
      <c r="BZ86" s="131"/>
    </row>
    <row r="87" spans="2:78" s="128" customFormat="1" ht="10.5" hidden="1" x14ac:dyDescent="0.25">
      <c r="B87" s="138">
        <v>7</v>
      </c>
      <c r="C87" s="130">
        <v>2.1000000000000001E-2</v>
      </c>
      <c r="D87" s="131">
        <v>8.25</v>
      </c>
      <c r="E87" s="131">
        <v>6</v>
      </c>
      <c r="F87" s="131">
        <v>4.4000000000000004</v>
      </c>
      <c r="G87" s="131">
        <v>3.1</v>
      </c>
      <c r="H87" s="131">
        <v>2.4</v>
      </c>
      <c r="I87" s="131">
        <v>1.8</v>
      </c>
      <c r="J87" s="131">
        <v>1.4</v>
      </c>
      <c r="K87" s="131">
        <v>0.85</v>
      </c>
      <c r="L87" s="131">
        <v>0.55000000000000004</v>
      </c>
      <c r="M87" s="131">
        <v>0.36</v>
      </c>
      <c r="N87" s="131">
        <v>0.25</v>
      </c>
      <c r="O87" s="131">
        <v>0.18</v>
      </c>
      <c r="P87" s="131">
        <v>0.13</v>
      </c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1"/>
      <c r="AT87" s="131"/>
      <c r="AU87" s="131"/>
      <c r="AV87" s="131"/>
      <c r="AW87" s="131"/>
      <c r="AX87" s="131"/>
      <c r="AY87" s="131"/>
      <c r="AZ87" s="131"/>
      <c r="BA87" s="131"/>
      <c r="BB87" s="131"/>
      <c r="BC87" s="131"/>
      <c r="BD87" s="131"/>
      <c r="BE87" s="131"/>
      <c r="BF87" s="131"/>
      <c r="BG87" s="131"/>
      <c r="BH87" s="131"/>
      <c r="BI87" s="131"/>
      <c r="BJ87" s="131"/>
      <c r="BK87" s="131"/>
      <c r="BL87" s="131"/>
      <c r="BM87" s="131"/>
      <c r="BN87" s="131"/>
      <c r="BO87" s="131"/>
      <c r="BP87" s="131"/>
      <c r="BQ87" s="131"/>
      <c r="BR87" s="131"/>
      <c r="BS87" s="131"/>
      <c r="BT87" s="131"/>
      <c r="BU87" s="131"/>
      <c r="BV87" s="131"/>
      <c r="BW87" s="131"/>
      <c r="BX87" s="131"/>
      <c r="BY87" s="131"/>
      <c r="BZ87" s="131"/>
    </row>
    <row r="88" spans="2:78" s="128" customFormat="1" ht="10.5" hidden="1" x14ac:dyDescent="0.25">
      <c r="B88" s="138">
        <v>8</v>
      </c>
      <c r="C88" s="130">
        <v>2.1999999999999999E-2</v>
      </c>
      <c r="D88" s="131">
        <v>9</v>
      </c>
      <c r="E88" s="131">
        <v>6.5</v>
      </c>
      <c r="F88" s="131">
        <v>4.75</v>
      </c>
      <c r="G88" s="131">
        <v>3.4</v>
      </c>
      <c r="H88" s="131">
        <v>2.6</v>
      </c>
      <c r="I88" s="131">
        <v>2</v>
      </c>
      <c r="J88" s="131">
        <v>1.55</v>
      </c>
      <c r="K88" s="131">
        <v>0.9</v>
      </c>
      <c r="L88" s="131">
        <v>0.6</v>
      </c>
      <c r="M88" s="131">
        <v>0.4</v>
      </c>
      <c r="N88" s="131">
        <v>0.28000000000000003</v>
      </c>
      <c r="O88" s="131">
        <v>0.2</v>
      </c>
      <c r="P88" s="131">
        <v>0.14000000000000001</v>
      </c>
      <c r="Q88" s="131">
        <v>0.105</v>
      </c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1"/>
      <c r="AT88" s="131"/>
      <c r="AU88" s="131"/>
      <c r="AV88" s="131"/>
      <c r="AW88" s="131"/>
      <c r="AX88" s="131"/>
      <c r="AY88" s="131"/>
      <c r="AZ88" s="131"/>
      <c r="BA88" s="131"/>
      <c r="BB88" s="131"/>
      <c r="BC88" s="131"/>
      <c r="BD88" s="131"/>
      <c r="BE88" s="131"/>
      <c r="BF88" s="131"/>
      <c r="BG88" s="131"/>
      <c r="BH88" s="131"/>
      <c r="BI88" s="131"/>
      <c r="BJ88" s="131"/>
      <c r="BK88" s="131"/>
      <c r="BL88" s="131"/>
      <c r="BM88" s="131"/>
      <c r="BN88" s="131"/>
      <c r="BO88" s="131"/>
      <c r="BP88" s="131"/>
      <c r="BQ88" s="131"/>
      <c r="BR88" s="131"/>
      <c r="BS88" s="131"/>
      <c r="BT88" s="131"/>
      <c r="BU88" s="131"/>
      <c r="BV88" s="131"/>
      <c r="BW88" s="131"/>
      <c r="BX88" s="131"/>
      <c r="BY88" s="131"/>
      <c r="BZ88" s="131"/>
    </row>
    <row r="89" spans="2:78" s="128" customFormat="1" ht="10.5" hidden="1" x14ac:dyDescent="0.25">
      <c r="B89" s="138">
        <v>9</v>
      </c>
      <c r="C89" s="130">
        <v>2.3E-2</v>
      </c>
      <c r="D89" s="131">
        <v>10</v>
      </c>
      <c r="E89" s="131">
        <v>7</v>
      </c>
      <c r="F89" s="131">
        <v>5.0999999999999996</v>
      </c>
      <c r="G89" s="131">
        <v>3.9</v>
      </c>
      <c r="H89" s="131">
        <v>2.8</v>
      </c>
      <c r="I89" s="131">
        <v>2.1</v>
      </c>
      <c r="J89" s="131">
        <v>1.65</v>
      </c>
      <c r="K89" s="131">
        <v>1</v>
      </c>
      <c r="L89" s="131">
        <v>0.65</v>
      </c>
      <c r="M89" s="131">
        <v>0.44</v>
      </c>
      <c r="N89" s="131">
        <v>0.3</v>
      </c>
      <c r="O89" s="131">
        <v>0.22</v>
      </c>
      <c r="P89" s="131">
        <v>0.155</v>
      </c>
      <c r="Q89" s="131">
        <v>0.115</v>
      </c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31"/>
      <c r="AO89" s="131"/>
      <c r="AP89" s="131"/>
      <c r="AQ89" s="131"/>
      <c r="AR89" s="131"/>
      <c r="AS89" s="131"/>
      <c r="AT89" s="131"/>
      <c r="AU89" s="131"/>
      <c r="AV89" s="131"/>
      <c r="AW89" s="131"/>
      <c r="AX89" s="131"/>
      <c r="AY89" s="131"/>
      <c r="AZ89" s="131"/>
      <c r="BA89" s="131"/>
      <c r="BB89" s="131"/>
      <c r="BC89" s="131"/>
      <c r="BD89" s="131"/>
      <c r="BE89" s="131"/>
      <c r="BF89" s="131"/>
      <c r="BG89" s="131"/>
      <c r="BH89" s="131"/>
      <c r="BI89" s="131"/>
      <c r="BJ89" s="131"/>
      <c r="BK89" s="131"/>
      <c r="BL89" s="131"/>
      <c r="BM89" s="131"/>
      <c r="BN89" s="131"/>
      <c r="BO89" s="131"/>
      <c r="BP89" s="131"/>
      <c r="BQ89" s="131"/>
      <c r="BR89" s="131"/>
      <c r="BS89" s="131"/>
      <c r="BT89" s="131"/>
      <c r="BU89" s="131"/>
      <c r="BV89" s="131"/>
      <c r="BW89" s="131"/>
      <c r="BX89" s="131"/>
      <c r="BY89" s="131"/>
      <c r="BZ89" s="131"/>
    </row>
    <row r="90" spans="2:78" s="128" customFormat="1" ht="10.5" hidden="1" x14ac:dyDescent="0.25">
      <c r="B90" s="138">
        <v>10</v>
      </c>
      <c r="C90" s="130">
        <v>2.4E-2</v>
      </c>
      <c r="D90" s="131">
        <v>11</v>
      </c>
      <c r="E90" s="131">
        <v>7.5</v>
      </c>
      <c r="F90" s="131">
        <v>5.6</v>
      </c>
      <c r="G90" s="131">
        <v>4</v>
      </c>
      <c r="H90" s="131">
        <v>3</v>
      </c>
      <c r="I90" s="131">
        <v>2.2999999999999998</v>
      </c>
      <c r="J90" s="131">
        <v>1.8</v>
      </c>
      <c r="K90" s="131">
        <v>1.1000000000000001</v>
      </c>
      <c r="L90" s="131">
        <v>0.7</v>
      </c>
      <c r="M90" s="131">
        <v>0.48</v>
      </c>
      <c r="N90" s="131">
        <v>0.32</v>
      </c>
      <c r="O90" s="131">
        <v>0.24</v>
      </c>
      <c r="P90" s="131">
        <v>0.17</v>
      </c>
      <c r="Q90" s="131">
        <v>0.125</v>
      </c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31"/>
      <c r="AO90" s="131"/>
      <c r="AP90" s="131"/>
      <c r="AQ90" s="131"/>
      <c r="AR90" s="131"/>
      <c r="AS90" s="131"/>
      <c r="AT90" s="131"/>
      <c r="AU90" s="131"/>
      <c r="AV90" s="131"/>
      <c r="AW90" s="131"/>
      <c r="AX90" s="131"/>
      <c r="AY90" s="131"/>
      <c r="AZ90" s="131"/>
      <c r="BA90" s="131"/>
      <c r="BB90" s="131"/>
      <c r="BC90" s="131"/>
      <c r="BD90" s="131"/>
      <c r="BE90" s="131"/>
      <c r="BF90" s="131"/>
      <c r="BG90" s="131"/>
      <c r="BH90" s="131"/>
      <c r="BI90" s="131"/>
      <c r="BJ90" s="131"/>
      <c r="BK90" s="131"/>
      <c r="BL90" s="131"/>
      <c r="BM90" s="131"/>
      <c r="BN90" s="131"/>
      <c r="BO90" s="131"/>
      <c r="BP90" s="131"/>
      <c r="BQ90" s="131"/>
      <c r="BR90" s="131"/>
      <c r="BS90" s="131"/>
      <c r="BT90" s="131"/>
      <c r="BU90" s="131"/>
      <c r="BV90" s="131"/>
      <c r="BW90" s="131"/>
      <c r="BX90" s="131"/>
      <c r="BY90" s="131"/>
      <c r="BZ90" s="131"/>
    </row>
    <row r="91" spans="2:78" s="128" customFormat="1" ht="10.5" hidden="1" x14ac:dyDescent="0.25">
      <c r="B91" s="138">
        <v>11</v>
      </c>
      <c r="C91" s="130">
        <v>2.5000000000000001E-2</v>
      </c>
      <c r="D91" s="131">
        <v>11.5</v>
      </c>
      <c r="E91" s="131">
        <v>8</v>
      </c>
      <c r="F91" s="131">
        <v>6</v>
      </c>
      <c r="G91" s="131">
        <v>4.4000000000000004</v>
      </c>
      <c r="H91" s="131">
        <v>3.2</v>
      </c>
      <c r="I91" s="131">
        <v>2.5</v>
      </c>
      <c r="J91" s="131">
        <v>1.95</v>
      </c>
      <c r="K91" s="131">
        <v>1.2</v>
      </c>
      <c r="L91" s="131">
        <v>0.75</v>
      </c>
      <c r="M91" s="131">
        <v>0.52500000000000002</v>
      </c>
      <c r="N91" s="131">
        <v>0.35</v>
      </c>
      <c r="O91" s="131">
        <v>0.26</v>
      </c>
      <c r="P91" s="131">
        <v>0.18</v>
      </c>
      <c r="Q91" s="131">
        <v>0.13</v>
      </c>
      <c r="R91" s="131">
        <v>0.1</v>
      </c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1"/>
      <c r="AO91" s="131"/>
      <c r="AP91" s="131"/>
      <c r="AQ91" s="131"/>
      <c r="AR91" s="131"/>
      <c r="AS91" s="131"/>
      <c r="AT91" s="131"/>
      <c r="AU91" s="131"/>
      <c r="AV91" s="131"/>
      <c r="AW91" s="131"/>
      <c r="AX91" s="131"/>
      <c r="AY91" s="131"/>
      <c r="AZ91" s="131"/>
      <c r="BA91" s="131"/>
      <c r="BB91" s="131"/>
      <c r="BC91" s="131"/>
      <c r="BD91" s="131"/>
      <c r="BE91" s="131"/>
      <c r="BF91" s="131"/>
      <c r="BG91" s="131"/>
      <c r="BH91" s="131"/>
      <c r="BI91" s="131"/>
      <c r="BJ91" s="131"/>
      <c r="BK91" s="131"/>
      <c r="BL91" s="131"/>
      <c r="BM91" s="131"/>
      <c r="BN91" s="131"/>
      <c r="BO91" s="131"/>
      <c r="BP91" s="131"/>
      <c r="BQ91" s="131"/>
      <c r="BR91" s="131"/>
      <c r="BS91" s="131"/>
      <c r="BT91" s="131"/>
      <c r="BU91" s="131"/>
      <c r="BV91" s="131"/>
      <c r="BW91" s="131"/>
      <c r="BX91" s="131"/>
      <c r="BY91" s="131"/>
      <c r="BZ91" s="131"/>
    </row>
    <row r="92" spans="2:78" s="128" customFormat="1" ht="10.5" hidden="1" x14ac:dyDescent="0.25">
      <c r="B92" s="138">
        <v>12</v>
      </c>
      <c r="C92" s="130">
        <v>2.5999999999999999E-2</v>
      </c>
      <c r="D92" s="131">
        <v>12.5</v>
      </c>
      <c r="E92" s="131">
        <v>8.75</v>
      </c>
      <c r="F92" s="131">
        <v>6.5</v>
      </c>
      <c r="G92" s="131">
        <v>4.72</v>
      </c>
      <c r="H92" s="131">
        <v>3.6</v>
      </c>
      <c r="I92" s="131">
        <v>2.7</v>
      </c>
      <c r="J92" s="131">
        <v>2.1</v>
      </c>
      <c r="K92" s="131">
        <v>1.3</v>
      </c>
      <c r="L92" s="131">
        <v>0.85</v>
      </c>
      <c r="M92" s="131">
        <v>0.55000000000000004</v>
      </c>
      <c r="N92" s="131">
        <v>0.38</v>
      </c>
      <c r="O92" s="131">
        <v>0.28000000000000003</v>
      </c>
      <c r="P92" s="131">
        <v>0.2</v>
      </c>
      <c r="Q92" s="131">
        <v>0.14499999999999999</v>
      </c>
      <c r="R92" s="131">
        <v>0.11</v>
      </c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1"/>
      <c r="AO92" s="131"/>
      <c r="AP92" s="131"/>
      <c r="AQ92" s="131"/>
      <c r="AR92" s="131"/>
      <c r="AS92" s="131"/>
      <c r="AT92" s="131"/>
      <c r="AU92" s="131"/>
      <c r="AV92" s="131"/>
      <c r="AW92" s="131"/>
      <c r="AX92" s="131"/>
      <c r="AY92" s="131"/>
      <c r="AZ92" s="131"/>
      <c r="BA92" s="131"/>
      <c r="BB92" s="131"/>
      <c r="BC92" s="131"/>
      <c r="BD92" s="131"/>
      <c r="BE92" s="131"/>
      <c r="BF92" s="131"/>
      <c r="BG92" s="131"/>
      <c r="BH92" s="131"/>
      <c r="BI92" s="131"/>
      <c r="BJ92" s="131"/>
      <c r="BK92" s="131"/>
      <c r="BL92" s="131"/>
      <c r="BM92" s="131"/>
      <c r="BN92" s="131"/>
      <c r="BO92" s="131"/>
      <c r="BP92" s="131"/>
      <c r="BQ92" s="131"/>
      <c r="BR92" s="131"/>
      <c r="BS92" s="131"/>
      <c r="BT92" s="131"/>
      <c r="BU92" s="131"/>
      <c r="BV92" s="131"/>
      <c r="BW92" s="131"/>
      <c r="BX92" s="131"/>
      <c r="BY92" s="131"/>
      <c r="BZ92" s="131"/>
    </row>
    <row r="93" spans="2:78" s="128" customFormat="1" ht="10.5" hidden="1" x14ac:dyDescent="0.25">
      <c r="B93" s="138">
        <v>13</v>
      </c>
      <c r="C93" s="130">
        <v>2.7E-2</v>
      </c>
      <c r="D93" s="131">
        <v>13.5</v>
      </c>
      <c r="E93" s="131">
        <v>9.5</v>
      </c>
      <c r="F93" s="131">
        <v>7</v>
      </c>
      <c r="G93" s="131">
        <v>5.04</v>
      </c>
      <c r="H93" s="131">
        <v>3.8</v>
      </c>
      <c r="I93" s="131">
        <v>2.9</v>
      </c>
      <c r="J93" s="131">
        <v>2.2000000000000002</v>
      </c>
      <c r="K93" s="131">
        <v>1.4</v>
      </c>
      <c r="L93" s="131">
        <v>0.9</v>
      </c>
      <c r="M93" s="131">
        <v>0.6</v>
      </c>
      <c r="N93" s="131">
        <v>0.4</v>
      </c>
      <c r="O93" s="131">
        <v>0.3</v>
      </c>
      <c r="P93" s="131">
        <v>0.21</v>
      </c>
      <c r="Q93" s="131">
        <v>0.15</v>
      </c>
      <c r="R93" s="131">
        <v>0.115</v>
      </c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1"/>
      <c r="AO93" s="131"/>
      <c r="AP93" s="131"/>
      <c r="AQ93" s="131"/>
      <c r="AR93" s="131"/>
      <c r="AS93" s="131"/>
      <c r="AT93" s="131"/>
      <c r="AU93" s="131"/>
      <c r="AV93" s="131"/>
      <c r="AW93" s="131"/>
      <c r="AX93" s="131"/>
      <c r="AY93" s="131"/>
      <c r="AZ93" s="131"/>
      <c r="BA93" s="131"/>
      <c r="BB93" s="131"/>
      <c r="BC93" s="131"/>
      <c r="BD93" s="131"/>
      <c r="BE93" s="131"/>
      <c r="BF93" s="131"/>
      <c r="BG93" s="131"/>
      <c r="BH93" s="131"/>
      <c r="BI93" s="131"/>
      <c r="BJ93" s="131"/>
      <c r="BK93" s="131"/>
      <c r="BL93" s="131"/>
      <c r="BM93" s="131"/>
      <c r="BN93" s="131"/>
      <c r="BO93" s="131"/>
      <c r="BP93" s="131"/>
      <c r="BQ93" s="131"/>
      <c r="BR93" s="131"/>
      <c r="BS93" s="131"/>
      <c r="BT93" s="131"/>
      <c r="BU93" s="131"/>
      <c r="BV93" s="131"/>
      <c r="BW93" s="131"/>
      <c r="BX93" s="131"/>
      <c r="BY93" s="131"/>
      <c r="BZ93" s="131"/>
    </row>
    <row r="94" spans="2:78" s="128" customFormat="1" ht="10.5" hidden="1" x14ac:dyDescent="0.25">
      <c r="B94" s="138">
        <v>14</v>
      </c>
      <c r="C94" s="130">
        <v>2.8000000000000001E-2</v>
      </c>
      <c r="D94" s="131">
        <v>14.5</v>
      </c>
      <c r="E94" s="131">
        <v>10.25</v>
      </c>
      <c r="F94" s="131">
        <v>7.5</v>
      </c>
      <c r="G94" s="131">
        <v>5.36</v>
      </c>
      <c r="H94" s="131">
        <v>4</v>
      </c>
      <c r="I94" s="131">
        <v>3.1</v>
      </c>
      <c r="J94" s="131">
        <v>2.4</v>
      </c>
      <c r="K94" s="131">
        <v>1.5</v>
      </c>
      <c r="L94" s="131">
        <v>0.95</v>
      </c>
      <c r="M94" s="131">
        <v>0.65</v>
      </c>
      <c r="N94" s="131">
        <v>0.42499999999999999</v>
      </c>
      <c r="O94" s="131">
        <v>0.32</v>
      </c>
      <c r="P94" s="131">
        <v>0.23</v>
      </c>
      <c r="Q94" s="131">
        <v>0.16</v>
      </c>
      <c r="R94" s="131">
        <v>0.125</v>
      </c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  <c r="AT94" s="131"/>
      <c r="AU94" s="131"/>
      <c r="AV94" s="131"/>
      <c r="AW94" s="131"/>
      <c r="AX94" s="131"/>
      <c r="AY94" s="131"/>
      <c r="AZ94" s="131"/>
      <c r="BA94" s="131"/>
      <c r="BB94" s="131"/>
      <c r="BC94" s="131"/>
      <c r="BD94" s="131"/>
      <c r="BE94" s="131"/>
      <c r="BF94" s="131"/>
      <c r="BG94" s="131"/>
      <c r="BH94" s="131"/>
      <c r="BI94" s="131"/>
      <c r="BJ94" s="131"/>
      <c r="BK94" s="131"/>
      <c r="BL94" s="131"/>
      <c r="BM94" s="131"/>
      <c r="BN94" s="131"/>
      <c r="BO94" s="131"/>
      <c r="BP94" s="131"/>
      <c r="BQ94" s="131"/>
      <c r="BR94" s="131"/>
      <c r="BS94" s="131"/>
      <c r="BT94" s="131"/>
      <c r="BU94" s="131"/>
      <c r="BV94" s="131"/>
      <c r="BW94" s="131"/>
      <c r="BX94" s="131"/>
      <c r="BY94" s="131"/>
      <c r="BZ94" s="131"/>
    </row>
    <row r="95" spans="2:78" s="128" customFormat="1" ht="10.5" hidden="1" x14ac:dyDescent="0.25">
      <c r="B95" s="138">
        <v>15</v>
      </c>
      <c r="C95" s="130">
        <v>2.9000000000000001E-2</v>
      </c>
      <c r="D95" s="131">
        <v>15.5</v>
      </c>
      <c r="E95" s="131">
        <v>10.75</v>
      </c>
      <c r="F95" s="131">
        <v>8</v>
      </c>
      <c r="G95" s="131">
        <v>5.68</v>
      </c>
      <c r="H95" s="131">
        <v>4.25</v>
      </c>
      <c r="I95" s="131">
        <v>3.3</v>
      </c>
      <c r="J95" s="131">
        <v>2.6</v>
      </c>
      <c r="K95" s="131">
        <v>1.6</v>
      </c>
      <c r="L95" s="131">
        <v>1</v>
      </c>
      <c r="M95" s="131">
        <v>0.7</v>
      </c>
      <c r="N95" s="131">
        <v>0.47499999999999998</v>
      </c>
      <c r="O95" s="131">
        <v>0.34</v>
      </c>
      <c r="P95" s="131">
        <v>0.24</v>
      </c>
      <c r="Q95" s="131">
        <v>0.17</v>
      </c>
      <c r="R95" s="131">
        <v>0.13</v>
      </c>
      <c r="S95" s="131">
        <v>0.1</v>
      </c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  <c r="AT95" s="131"/>
      <c r="AU95" s="131"/>
      <c r="AV95" s="131"/>
      <c r="AW95" s="131"/>
      <c r="AX95" s="131"/>
      <c r="AY95" s="131"/>
      <c r="AZ95" s="131"/>
      <c r="BA95" s="131"/>
      <c r="BB95" s="131"/>
      <c r="BC95" s="131"/>
      <c r="BD95" s="131"/>
      <c r="BE95" s="131"/>
      <c r="BF95" s="131"/>
      <c r="BG95" s="131"/>
      <c r="BH95" s="131"/>
      <c r="BI95" s="131"/>
      <c r="BJ95" s="131"/>
      <c r="BK95" s="131"/>
      <c r="BL95" s="131"/>
      <c r="BM95" s="131"/>
      <c r="BN95" s="131"/>
      <c r="BO95" s="131"/>
      <c r="BP95" s="131"/>
      <c r="BQ95" s="131"/>
      <c r="BR95" s="131"/>
      <c r="BS95" s="131"/>
      <c r="BT95" s="131"/>
      <c r="BU95" s="131"/>
      <c r="BV95" s="131"/>
      <c r="BW95" s="131"/>
      <c r="BX95" s="131"/>
      <c r="BY95" s="131"/>
      <c r="BZ95" s="131"/>
    </row>
    <row r="96" spans="2:78" s="128" customFormat="1" ht="10.5" hidden="1" x14ac:dyDescent="0.25">
      <c r="B96" s="138">
        <v>16</v>
      </c>
      <c r="C96" s="130">
        <v>0.03</v>
      </c>
      <c r="D96" s="131">
        <v>16</v>
      </c>
      <c r="E96" s="131">
        <v>11.25</v>
      </c>
      <c r="F96" s="131">
        <v>8.5</v>
      </c>
      <c r="G96" s="131">
        <v>6</v>
      </c>
      <c r="H96" s="131">
        <v>4.5</v>
      </c>
      <c r="I96" s="131">
        <v>3.4</v>
      </c>
      <c r="J96" s="131">
        <v>2.7</v>
      </c>
      <c r="K96" s="131">
        <v>1.7</v>
      </c>
      <c r="L96" s="131">
        <v>1.1000000000000001</v>
      </c>
      <c r="M96" s="131">
        <v>0.72499999999999998</v>
      </c>
      <c r="N96" s="131">
        <v>0.5</v>
      </c>
      <c r="O96" s="131">
        <v>0.36</v>
      </c>
      <c r="P96" s="131">
        <v>0.25</v>
      </c>
      <c r="Q96" s="131">
        <v>0.18</v>
      </c>
      <c r="R96" s="131">
        <v>0.14000000000000001</v>
      </c>
      <c r="S96" s="131">
        <v>0.11</v>
      </c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  <c r="AT96" s="131"/>
      <c r="AU96" s="131"/>
      <c r="AV96" s="131"/>
      <c r="AW96" s="131"/>
      <c r="AX96" s="131"/>
      <c r="AY96" s="131"/>
      <c r="AZ96" s="131"/>
      <c r="BA96" s="131"/>
      <c r="BB96" s="131"/>
      <c r="BC96" s="131"/>
      <c r="BD96" s="131"/>
      <c r="BE96" s="131"/>
      <c r="BF96" s="131"/>
      <c r="BG96" s="131"/>
      <c r="BH96" s="131"/>
      <c r="BI96" s="131"/>
      <c r="BJ96" s="131"/>
      <c r="BK96" s="131"/>
      <c r="BL96" s="131"/>
      <c r="BM96" s="131"/>
      <c r="BN96" s="131"/>
      <c r="BO96" s="131"/>
      <c r="BP96" s="131"/>
      <c r="BQ96" s="131"/>
      <c r="BR96" s="131"/>
      <c r="BS96" s="131"/>
      <c r="BT96" s="131"/>
      <c r="BU96" s="131"/>
      <c r="BV96" s="131"/>
      <c r="BW96" s="131"/>
      <c r="BX96" s="131"/>
      <c r="BY96" s="131"/>
      <c r="BZ96" s="131"/>
    </row>
    <row r="97" spans="2:78" s="128" customFormat="1" ht="10.5" hidden="1" x14ac:dyDescent="0.25">
      <c r="B97" s="138">
        <v>17</v>
      </c>
      <c r="C97" s="130">
        <v>3.2000000000000001E-2</v>
      </c>
      <c r="D97" s="131">
        <v>18.5</v>
      </c>
      <c r="E97" s="131">
        <v>12.5</v>
      </c>
      <c r="F97" s="131">
        <v>9.5</v>
      </c>
      <c r="G97" s="131">
        <v>7</v>
      </c>
      <c r="H97" s="131">
        <v>5.25</v>
      </c>
      <c r="I97" s="131">
        <v>4</v>
      </c>
      <c r="J97" s="131">
        <v>3.05</v>
      </c>
      <c r="K97" s="131">
        <v>1.85</v>
      </c>
      <c r="L97" s="131">
        <v>1.2</v>
      </c>
      <c r="M97" s="131">
        <v>0.8</v>
      </c>
      <c r="N97" s="131">
        <v>0.55000000000000004</v>
      </c>
      <c r="O97" s="131">
        <v>0.4</v>
      </c>
      <c r="P97" s="131">
        <v>0.28000000000000003</v>
      </c>
      <c r="Q97" s="131">
        <v>0.2</v>
      </c>
      <c r="R97" s="131">
        <v>0.16</v>
      </c>
      <c r="S97" s="131">
        <v>0.12</v>
      </c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  <c r="AT97" s="131"/>
      <c r="AU97" s="131"/>
      <c r="AV97" s="131"/>
      <c r="AW97" s="131"/>
      <c r="AX97" s="131"/>
      <c r="AY97" s="131"/>
      <c r="AZ97" s="131"/>
      <c r="BA97" s="131"/>
      <c r="BB97" s="131"/>
      <c r="BC97" s="131"/>
      <c r="BD97" s="131"/>
      <c r="BE97" s="131"/>
      <c r="BF97" s="131"/>
      <c r="BG97" s="131"/>
      <c r="BH97" s="131"/>
      <c r="BI97" s="131"/>
      <c r="BJ97" s="131"/>
      <c r="BK97" s="131"/>
      <c r="BL97" s="131"/>
      <c r="BM97" s="131"/>
      <c r="BN97" s="131"/>
      <c r="BO97" s="131"/>
      <c r="BP97" s="131"/>
      <c r="BQ97" s="131"/>
      <c r="BR97" s="131"/>
      <c r="BS97" s="131"/>
      <c r="BT97" s="131"/>
      <c r="BU97" s="131"/>
      <c r="BV97" s="131"/>
      <c r="BW97" s="131"/>
      <c r="BX97" s="131"/>
      <c r="BY97" s="131"/>
      <c r="BZ97" s="131"/>
    </row>
    <row r="98" spans="2:78" s="128" customFormat="1" ht="10.5" hidden="1" x14ac:dyDescent="0.25">
      <c r="B98" s="138">
        <v>18</v>
      </c>
      <c r="C98" s="130">
        <v>3.4000000000000002E-2</v>
      </c>
      <c r="D98" s="131">
        <v>20.5</v>
      </c>
      <c r="E98" s="131">
        <v>14</v>
      </c>
      <c r="F98" s="131">
        <v>10.75</v>
      </c>
      <c r="G98" s="131">
        <v>8</v>
      </c>
      <c r="H98" s="131">
        <v>6</v>
      </c>
      <c r="I98" s="131">
        <v>4.4000000000000004</v>
      </c>
      <c r="J98" s="131">
        <v>3.4</v>
      </c>
      <c r="K98" s="131">
        <v>2.1</v>
      </c>
      <c r="L98" s="131">
        <v>1.4</v>
      </c>
      <c r="M98" s="131">
        <v>0.9</v>
      </c>
      <c r="N98" s="131">
        <v>0.6</v>
      </c>
      <c r="O98" s="131">
        <v>0.45</v>
      </c>
      <c r="P98" s="131">
        <v>0.32</v>
      </c>
      <c r="Q98" s="131">
        <v>0.23</v>
      </c>
      <c r="R98" s="131">
        <v>0.17499999999999999</v>
      </c>
      <c r="S98" s="131">
        <v>0.14000000000000001</v>
      </c>
      <c r="T98" s="131">
        <v>0.1</v>
      </c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  <c r="AT98" s="131"/>
      <c r="AU98" s="131"/>
      <c r="AV98" s="131"/>
      <c r="AW98" s="131"/>
      <c r="AX98" s="131"/>
      <c r="AY98" s="131"/>
      <c r="AZ98" s="131"/>
      <c r="BA98" s="131"/>
      <c r="BB98" s="131"/>
      <c r="BC98" s="131"/>
      <c r="BD98" s="131"/>
      <c r="BE98" s="131"/>
      <c r="BF98" s="131"/>
      <c r="BG98" s="131"/>
      <c r="BH98" s="131"/>
      <c r="BI98" s="131"/>
      <c r="BJ98" s="131"/>
      <c r="BK98" s="131"/>
      <c r="BL98" s="131"/>
      <c r="BM98" s="131"/>
      <c r="BN98" s="131"/>
      <c r="BO98" s="131"/>
      <c r="BP98" s="131"/>
      <c r="BQ98" s="131"/>
      <c r="BR98" s="131"/>
      <c r="BS98" s="131"/>
      <c r="BT98" s="131"/>
      <c r="BU98" s="131"/>
      <c r="BV98" s="131"/>
      <c r="BW98" s="131"/>
      <c r="BX98" s="131"/>
      <c r="BY98" s="131"/>
      <c r="BZ98" s="131"/>
    </row>
    <row r="99" spans="2:78" s="128" customFormat="1" ht="10.5" hidden="1" x14ac:dyDescent="0.25">
      <c r="B99" s="138">
        <v>19</v>
      </c>
      <c r="C99" s="130">
        <v>3.5999999999999997E-2</v>
      </c>
      <c r="D99" s="131">
        <v>23</v>
      </c>
      <c r="E99" s="131">
        <v>16</v>
      </c>
      <c r="F99" s="131">
        <v>12</v>
      </c>
      <c r="G99" s="131">
        <v>8.75</v>
      </c>
      <c r="H99" s="131">
        <v>6.5</v>
      </c>
      <c r="I99" s="131">
        <v>5</v>
      </c>
      <c r="J99" s="131">
        <v>3.8</v>
      </c>
      <c r="K99" s="131">
        <v>2.2999999999999998</v>
      </c>
      <c r="L99" s="131">
        <v>1.55</v>
      </c>
      <c r="M99" s="131">
        <v>1</v>
      </c>
      <c r="N99" s="131">
        <v>0.7</v>
      </c>
      <c r="O99" s="131">
        <v>0.5</v>
      </c>
      <c r="P99" s="131">
        <v>0.36</v>
      </c>
      <c r="Q99" s="131">
        <v>0.25</v>
      </c>
      <c r="R99" s="131">
        <v>0.2</v>
      </c>
      <c r="S99" s="131">
        <v>0.15</v>
      </c>
      <c r="T99" s="131">
        <v>0.11</v>
      </c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1"/>
      <c r="AO99" s="131"/>
      <c r="AP99" s="131"/>
      <c r="AQ99" s="131"/>
      <c r="AR99" s="131"/>
      <c r="AS99" s="131"/>
      <c r="AT99" s="131"/>
      <c r="AU99" s="131"/>
      <c r="AV99" s="131"/>
      <c r="AW99" s="131"/>
      <c r="AX99" s="131"/>
      <c r="AY99" s="131"/>
      <c r="AZ99" s="131"/>
      <c r="BA99" s="131"/>
      <c r="BB99" s="131"/>
      <c r="BC99" s="131"/>
      <c r="BD99" s="131"/>
      <c r="BE99" s="131"/>
      <c r="BF99" s="131"/>
      <c r="BG99" s="131"/>
      <c r="BH99" s="131"/>
      <c r="BI99" s="131"/>
      <c r="BJ99" s="131"/>
      <c r="BK99" s="131"/>
      <c r="BL99" s="131"/>
      <c r="BM99" s="131"/>
      <c r="BN99" s="131"/>
      <c r="BO99" s="131"/>
      <c r="BP99" s="131"/>
      <c r="BQ99" s="131"/>
      <c r="BR99" s="131"/>
      <c r="BS99" s="131"/>
      <c r="BT99" s="131"/>
      <c r="BU99" s="131"/>
      <c r="BV99" s="131"/>
      <c r="BW99" s="131"/>
      <c r="BX99" s="131"/>
      <c r="BY99" s="131"/>
      <c r="BZ99" s="131"/>
    </row>
    <row r="100" spans="2:78" s="128" customFormat="1" ht="10.5" hidden="1" x14ac:dyDescent="0.25">
      <c r="B100" s="138">
        <v>20</v>
      </c>
      <c r="C100" s="130">
        <v>3.7999999999999999E-2</v>
      </c>
      <c r="D100" s="131">
        <v>26</v>
      </c>
      <c r="E100" s="131">
        <v>18</v>
      </c>
      <c r="F100" s="131">
        <v>13.5</v>
      </c>
      <c r="G100" s="131">
        <v>9.5</v>
      </c>
      <c r="H100" s="131">
        <v>7.25</v>
      </c>
      <c r="I100" s="131">
        <v>5.5</v>
      </c>
      <c r="J100" s="131">
        <v>4.25</v>
      </c>
      <c r="K100" s="131">
        <v>2.6</v>
      </c>
      <c r="L100" s="131">
        <v>1.7</v>
      </c>
      <c r="M100" s="131">
        <v>1.1000000000000001</v>
      </c>
      <c r="N100" s="131">
        <v>0.75</v>
      </c>
      <c r="O100" s="131">
        <v>0.55000000000000004</v>
      </c>
      <c r="P100" s="131">
        <v>0.4</v>
      </c>
      <c r="Q100" s="131">
        <v>0.28000000000000003</v>
      </c>
      <c r="R100" s="131">
        <v>0.22</v>
      </c>
      <c r="S100" s="131">
        <v>0.17</v>
      </c>
      <c r="T100" s="131">
        <v>0.12</v>
      </c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  <c r="AT100" s="131"/>
      <c r="AU100" s="131"/>
      <c r="AV100" s="131"/>
      <c r="AW100" s="131"/>
      <c r="AX100" s="131"/>
      <c r="AY100" s="131"/>
      <c r="AZ100" s="131"/>
      <c r="BA100" s="131"/>
      <c r="BB100" s="131"/>
      <c r="BC100" s="131"/>
      <c r="BD100" s="131"/>
      <c r="BE100" s="131"/>
      <c r="BF100" s="131"/>
      <c r="BG100" s="131"/>
      <c r="BH100" s="131"/>
      <c r="BI100" s="131"/>
      <c r="BJ100" s="131"/>
      <c r="BK100" s="131"/>
      <c r="BL100" s="131"/>
      <c r="BM100" s="131"/>
      <c r="BN100" s="131"/>
      <c r="BO100" s="131"/>
      <c r="BP100" s="131"/>
      <c r="BQ100" s="131"/>
      <c r="BR100" s="131"/>
      <c r="BS100" s="131"/>
      <c r="BT100" s="131"/>
      <c r="BU100" s="131"/>
      <c r="BV100" s="131"/>
      <c r="BW100" s="131"/>
      <c r="BX100" s="131"/>
      <c r="BY100" s="131"/>
      <c r="BZ100" s="131"/>
    </row>
    <row r="101" spans="2:78" s="128" customFormat="1" ht="10.5" hidden="1" x14ac:dyDescent="0.25">
      <c r="B101" s="138">
        <v>21</v>
      </c>
      <c r="C101" s="130">
        <v>0.04</v>
      </c>
      <c r="D101" s="131">
        <v>28</v>
      </c>
      <c r="E101" s="131">
        <v>20</v>
      </c>
      <c r="F101" s="131">
        <v>15</v>
      </c>
      <c r="G101" s="131">
        <v>10.75</v>
      </c>
      <c r="H101" s="131">
        <v>8</v>
      </c>
      <c r="I101" s="131">
        <v>6</v>
      </c>
      <c r="J101" s="131">
        <v>4.5</v>
      </c>
      <c r="K101" s="131">
        <v>2.9</v>
      </c>
      <c r="L101" s="131">
        <v>1.85</v>
      </c>
      <c r="M101" s="131">
        <v>1.2</v>
      </c>
      <c r="N101" s="131">
        <v>0.85</v>
      </c>
      <c r="O101" s="131">
        <v>0.6</v>
      </c>
      <c r="P101" s="131">
        <v>0.45</v>
      </c>
      <c r="Q101" s="131">
        <v>0.31</v>
      </c>
      <c r="R101" s="131">
        <v>0.24</v>
      </c>
      <c r="S101" s="131">
        <v>0.185</v>
      </c>
      <c r="T101" s="131">
        <v>0.14000000000000001</v>
      </c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  <c r="AT101" s="131"/>
      <c r="AU101" s="131"/>
      <c r="AV101" s="131"/>
      <c r="AW101" s="131"/>
      <c r="AX101" s="131"/>
      <c r="AY101" s="131"/>
      <c r="AZ101" s="131"/>
      <c r="BA101" s="131"/>
      <c r="BB101" s="131"/>
      <c r="BC101" s="131"/>
      <c r="BD101" s="131"/>
      <c r="BE101" s="131"/>
      <c r="BF101" s="131"/>
      <c r="BG101" s="131"/>
      <c r="BH101" s="131"/>
      <c r="BI101" s="131"/>
      <c r="BJ101" s="131"/>
      <c r="BK101" s="131"/>
      <c r="BL101" s="131"/>
      <c r="BM101" s="131"/>
      <c r="BN101" s="131"/>
      <c r="BO101" s="131"/>
      <c r="BP101" s="131"/>
      <c r="BQ101" s="131"/>
      <c r="BR101" s="131"/>
      <c r="BS101" s="131"/>
      <c r="BT101" s="131"/>
      <c r="BU101" s="131"/>
      <c r="BV101" s="131"/>
      <c r="BW101" s="131"/>
      <c r="BX101" s="131"/>
      <c r="BY101" s="131"/>
      <c r="BZ101" s="131"/>
    </row>
    <row r="102" spans="2:78" s="128" customFormat="1" ht="10.5" hidden="1" x14ac:dyDescent="0.25">
      <c r="B102" s="138">
        <v>22</v>
      </c>
      <c r="C102" s="130">
        <v>4.2000000000000003E-2</v>
      </c>
      <c r="D102" s="131">
        <v>31</v>
      </c>
      <c r="E102" s="131">
        <v>22</v>
      </c>
      <c r="F102" s="131">
        <v>16.5</v>
      </c>
      <c r="G102" s="131">
        <v>12</v>
      </c>
      <c r="H102" s="131">
        <v>8.75</v>
      </c>
      <c r="I102" s="131">
        <v>6.5</v>
      </c>
      <c r="J102" s="131">
        <v>5.25</v>
      </c>
      <c r="K102" s="131">
        <v>3.1</v>
      </c>
      <c r="L102" s="131">
        <v>2</v>
      </c>
      <c r="M102" s="131">
        <v>1.35</v>
      </c>
      <c r="N102" s="131">
        <v>0.9</v>
      </c>
      <c r="O102" s="131">
        <v>0.67</v>
      </c>
      <c r="P102" s="131">
        <v>0.5</v>
      </c>
      <c r="Q102" s="131">
        <v>0.34</v>
      </c>
      <c r="R102" s="131">
        <v>0.26</v>
      </c>
      <c r="S102" s="131">
        <v>0.2</v>
      </c>
      <c r="T102" s="131">
        <v>0.155</v>
      </c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1"/>
      <c r="AO102" s="131"/>
      <c r="AP102" s="131"/>
      <c r="AQ102" s="131"/>
      <c r="AR102" s="131"/>
      <c r="AS102" s="131"/>
      <c r="AT102" s="131"/>
      <c r="AU102" s="131"/>
      <c r="AV102" s="131"/>
      <c r="AW102" s="131"/>
      <c r="AX102" s="131"/>
      <c r="AY102" s="131"/>
      <c r="AZ102" s="131"/>
      <c r="BA102" s="131"/>
      <c r="BB102" s="131"/>
      <c r="BC102" s="131"/>
      <c r="BD102" s="131"/>
      <c r="BE102" s="131"/>
      <c r="BF102" s="131"/>
      <c r="BG102" s="131"/>
      <c r="BH102" s="131"/>
      <c r="BI102" s="131"/>
      <c r="BJ102" s="131"/>
      <c r="BK102" s="131"/>
      <c r="BL102" s="131"/>
      <c r="BM102" s="131"/>
      <c r="BN102" s="131"/>
      <c r="BO102" s="131"/>
      <c r="BP102" s="131"/>
      <c r="BQ102" s="131"/>
      <c r="BR102" s="131"/>
      <c r="BS102" s="131"/>
      <c r="BT102" s="131"/>
      <c r="BU102" s="131"/>
      <c r="BV102" s="131"/>
      <c r="BW102" s="131"/>
      <c r="BX102" s="131"/>
      <c r="BY102" s="131"/>
      <c r="BZ102" s="131"/>
    </row>
    <row r="103" spans="2:78" s="128" customFormat="1" ht="10.5" hidden="1" x14ac:dyDescent="0.25">
      <c r="B103" s="138">
        <v>23</v>
      </c>
      <c r="C103" s="130">
        <v>4.3999999999999997E-2</v>
      </c>
      <c r="D103" s="131">
        <v>34</v>
      </c>
      <c r="E103" s="131">
        <v>24</v>
      </c>
      <c r="F103" s="131">
        <v>18</v>
      </c>
      <c r="G103" s="131">
        <v>13</v>
      </c>
      <c r="H103" s="131">
        <v>9.5</v>
      </c>
      <c r="I103" s="131">
        <v>7.25</v>
      </c>
      <c r="J103" s="131">
        <v>5.5</v>
      </c>
      <c r="K103" s="131">
        <v>3.4</v>
      </c>
      <c r="L103" s="131">
        <v>2.2000000000000002</v>
      </c>
      <c r="M103" s="131">
        <v>1.45</v>
      </c>
      <c r="N103" s="131">
        <v>1</v>
      </c>
      <c r="O103" s="131">
        <v>0.74</v>
      </c>
      <c r="P103" s="131">
        <v>0.54</v>
      </c>
      <c r="Q103" s="131">
        <v>0.36</v>
      </c>
      <c r="R103" s="131">
        <v>0.28000000000000003</v>
      </c>
      <c r="S103" s="131">
        <v>0.22</v>
      </c>
      <c r="T103" s="131">
        <v>0.17</v>
      </c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  <c r="AT103" s="131"/>
      <c r="AU103" s="131"/>
      <c r="AV103" s="131"/>
      <c r="AW103" s="131"/>
      <c r="AX103" s="131"/>
      <c r="AY103" s="131"/>
      <c r="AZ103" s="131"/>
      <c r="BA103" s="131"/>
      <c r="BB103" s="131"/>
      <c r="BC103" s="131"/>
      <c r="BD103" s="131"/>
      <c r="BE103" s="131"/>
      <c r="BF103" s="131"/>
      <c r="BG103" s="131"/>
      <c r="BH103" s="131"/>
      <c r="BI103" s="131"/>
      <c r="BJ103" s="131"/>
      <c r="BK103" s="131"/>
      <c r="BL103" s="131"/>
      <c r="BM103" s="131"/>
      <c r="BN103" s="131"/>
      <c r="BO103" s="131"/>
      <c r="BP103" s="131"/>
      <c r="BQ103" s="131"/>
      <c r="BR103" s="131"/>
      <c r="BS103" s="131"/>
      <c r="BT103" s="131"/>
      <c r="BU103" s="131"/>
      <c r="BV103" s="131"/>
      <c r="BW103" s="131"/>
      <c r="BX103" s="131"/>
      <c r="BY103" s="131"/>
      <c r="BZ103" s="131"/>
    </row>
    <row r="104" spans="2:78" s="128" customFormat="1" ht="10.5" hidden="1" x14ac:dyDescent="0.25">
      <c r="B104" s="138">
        <v>24</v>
      </c>
      <c r="C104" s="130">
        <v>4.5999999999999999E-2</v>
      </c>
      <c r="D104" s="131">
        <v>36</v>
      </c>
      <c r="E104" s="131">
        <v>26</v>
      </c>
      <c r="F104" s="131">
        <v>19.5</v>
      </c>
      <c r="G104" s="131">
        <v>14</v>
      </c>
      <c r="H104" s="131">
        <v>10.25</v>
      </c>
      <c r="I104" s="131">
        <v>7.75</v>
      </c>
      <c r="J104" s="131">
        <v>6</v>
      </c>
      <c r="K104" s="131">
        <v>3.7</v>
      </c>
      <c r="L104" s="131">
        <v>2.4</v>
      </c>
      <c r="M104" s="131">
        <v>1.55</v>
      </c>
      <c r="N104" s="131">
        <v>1.1000000000000001</v>
      </c>
      <c r="O104" s="131">
        <v>0.8</v>
      </c>
      <c r="P104" s="131">
        <v>0.56999999999999995</v>
      </c>
      <c r="Q104" s="131">
        <v>0.4</v>
      </c>
      <c r="R104" s="131">
        <v>0.31</v>
      </c>
      <c r="S104" s="131">
        <v>0.24</v>
      </c>
      <c r="T104" s="131">
        <v>0.185</v>
      </c>
      <c r="U104" s="131">
        <v>0.1</v>
      </c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  <c r="AT104" s="131"/>
      <c r="AU104" s="131"/>
      <c r="AV104" s="131"/>
      <c r="AW104" s="131"/>
      <c r="AX104" s="131"/>
      <c r="AY104" s="131"/>
      <c r="AZ104" s="131"/>
      <c r="BA104" s="131"/>
      <c r="BB104" s="131"/>
      <c r="BC104" s="131"/>
      <c r="BD104" s="131"/>
      <c r="BE104" s="131"/>
      <c r="BF104" s="131"/>
      <c r="BG104" s="131"/>
      <c r="BH104" s="131"/>
      <c r="BI104" s="131"/>
      <c r="BJ104" s="131"/>
      <c r="BK104" s="131"/>
      <c r="BL104" s="131"/>
      <c r="BM104" s="131"/>
      <c r="BN104" s="131"/>
      <c r="BO104" s="131"/>
      <c r="BP104" s="131"/>
      <c r="BQ104" s="131"/>
      <c r="BR104" s="131"/>
      <c r="BS104" s="131"/>
      <c r="BT104" s="131"/>
      <c r="BU104" s="131"/>
      <c r="BV104" s="131"/>
      <c r="BW104" s="131"/>
      <c r="BX104" s="131"/>
      <c r="BY104" s="131"/>
      <c r="BZ104" s="131"/>
    </row>
    <row r="105" spans="2:78" s="128" customFormat="1" ht="10.5" hidden="1" x14ac:dyDescent="0.25">
      <c r="B105" s="138">
        <v>25</v>
      </c>
      <c r="C105" s="130">
        <v>4.8000000000000001E-2</v>
      </c>
      <c r="D105" s="131">
        <v>40</v>
      </c>
      <c r="E105" s="131">
        <v>28</v>
      </c>
      <c r="F105" s="131">
        <v>21</v>
      </c>
      <c r="G105" s="131">
        <v>15</v>
      </c>
      <c r="H105" s="131">
        <v>11</v>
      </c>
      <c r="I105" s="131">
        <v>8.5</v>
      </c>
      <c r="J105" s="131">
        <v>6.5</v>
      </c>
      <c r="K105" s="131">
        <v>4</v>
      </c>
      <c r="L105" s="131">
        <v>2.6</v>
      </c>
      <c r="M105" s="131">
        <v>1.7</v>
      </c>
      <c r="N105" s="131">
        <v>1.4</v>
      </c>
      <c r="O105" s="131">
        <v>0.85</v>
      </c>
      <c r="P105" s="131">
        <v>0.625</v>
      </c>
      <c r="Q105" s="131">
        <v>0.44</v>
      </c>
      <c r="R105" s="131">
        <v>0.34</v>
      </c>
      <c r="S105" s="131">
        <v>0.26</v>
      </c>
      <c r="T105" s="131">
        <v>0.2</v>
      </c>
      <c r="U105" s="131">
        <v>0.11</v>
      </c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1"/>
      <c r="AM105" s="131"/>
      <c r="AN105" s="131"/>
      <c r="AO105" s="131"/>
      <c r="AP105" s="131"/>
      <c r="AQ105" s="131"/>
      <c r="AR105" s="131"/>
      <c r="AS105" s="131"/>
      <c r="AT105" s="131"/>
      <c r="AU105" s="131"/>
      <c r="AV105" s="131"/>
      <c r="AW105" s="131"/>
      <c r="AX105" s="131"/>
      <c r="AY105" s="131"/>
      <c r="AZ105" s="131"/>
      <c r="BA105" s="131"/>
      <c r="BB105" s="131"/>
      <c r="BC105" s="131"/>
      <c r="BD105" s="131"/>
      <c r="BE105" s="131"/>
      <c r="BF105" s="131"/>
      <c r="BG105" s="131"/>
      <c r="BH105" s="131"/>
      <c r="BI105" s="131"/>
      <c r="BJ105" s="131"/>
      <c r="BK105" s="131"/>
      <c r="BL105" s="131"/>
      <c r="BM105" s="131"/>
      <c r="BN105" s="131"/>
      <c r="BO105" s="131"/>
      <c r="BP105" s="131"/>
      <c r="BQ105" s="131"/>
      <c r="BR105" s="131"/>
      <c r="BS105" s="131"/>
      <c r="BT105" s="131"/>
      <c r="BU105" s="131"/>
      <c r="BV105" s="131"/>
      <c r="BW105" s="131"/>
      <c r="BX105" s="131"/>
      <c r="BY105" s="131"/>
      <c r="BZ105" s="131"/>
    </row>
    <row r="106" spans="2:78" s="128" customFormat="1" ht="10.5" hidden="1" x14ac:dyDescent="0.25">
      <c r="B106" s="138">
        <v>26</v>
      </c>
      <c r="C106" s="130">
        <v>0.05</v>
      </c>
      <c r="D106" s="131">
        <v>42.5</v>
      </c>
      <c r="E106" s="131">
        <v>31</v>
      </c>
      <c r="F106" s="131">
        <v>22.5</v>
      </c>
      <c r="G106" s="131">
        <v>16</v>
      </c>
      <c r="H106" s="131">
        <v>12</v>
      </c>
      <c r="I106" s="131">
        <v>9</v>
      </c>
      <c r="J106" s="131">
        <v>7</v>
      </c>
      <c r="K106" s="131">
        <v>4.25</v>
      </c>
      <c r="L106" s="131">
        <v>2.8</v>
      </c>
      <c r="M106" s="131">
        <v>1.8</v>
      </c>
      <c r="N106" s="131">
        <v>1.6</v>
      </c>
      <c r="O106" s="131">
        <v>0.95</v>
      </c>
      <c r="P106" s="131">
        <v>0.66</v>
      </c>
      <c r="Q106" s="131">
        <v>0.46</v>
      </c>
      <c r="R106" s="131">
        <v>0.36</v>
      </c>
      <c r="S106" s="131">
        <v>0.28000000000000003</v>
      </c>
      <c r="T106" s="131">
        <v>0.22</v>
      </c>
      <c r="U106" s="131">
        <v>0.115</v>
      </c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  <c r="AT106" s="131"/>
      <c r="AU106" s="131"/>
      <c r="AV106" s="131"/>
      <c r="AW106" s="131"/>
      <c r="AX106" s="131"/>
      <c r="AY106" s="131"/>
      <c r="AZ106" s="131"/>
      <c r="BA106" s="131"/>
      <c r="BB106" s="131"/>
      <c r="BC106" s="131"/>
      <c r="BD106" s="131"/>
      <c r="BE106" s="131"/>
      <c r="BF106" s="131"/>
      <c r="BG106" s="131"/>
      <c r="BH106" s="131"/>
      <c r="BI106" s="131"/>
      <c r="BJ106" s="131"/>
      <c r="BK106" s="131"/>
      <c r="BL106" s="131"/>
      <c r="BM106" s="131"/>
      <c r="BN106" s="131"/>
      <c r="BO106" s="131"/>
      <c r="BP106" s="131"/>
      <c r="BQ106" s="131"/>
      <c r="BR106" s="131"/>
      <c r="BS106" s="131"/>
      <c r="BT106" s="131"/>
      <c r="BU106" s="131"/>
      <c r="BV106" s="131"/>
      <c r="BW106" s="131"/>
      <c r="BX106" s="131"/>
      <c r="BY106" s="131"/>
      <c r="BZ106" s="131"/>
    </row>
    <row r="107" spans="2:78" s="128" customFormat="1" ht="10.5" hidden="1" x14ac:dyDescent="0.25">
      <c r="B107" s="138">
        <v>27</v>
      </c>
      <c r="C107" s="130">
        <v>5.1999999999999998E-2</v>
      </c>
      <c r="D107" s="131">
        <v>46</v>
      </c>
      <c r="E107" s="131">
        <v>33</v>
      </c>
      <c r="F107" s="131">
        <v>24</v>
      </c>
      <c r="G107" s="131">
        <v>17.5</v>
      </c>
      <c r="H107" s="131">
        <v>13</v>
      </c>
      <c r="I107" s="131">
        <v>10</v>
      </c>
      <c r="J107" s="131">
        <v>7.5</v>
      </c>
      <c r="K107" s="131">
        <v>4.5</v>
      </c>
      <c r="L107" s="131">
        <v>3.1</v>
      </c>
      <c r="M107" s="131">
        <v>2</v>
      </c>
      <c r="N107" s="131">
        <v>1.4</v>
      </c>
      <c r="O107" s="131">
        <v>1</v>
      </c>
      <c r="P107" s="131">
        <v>0.72</v>
      </c>
      <c r="Q107" s="131">
        <v>0.5</v>
      </c>
      <c r="R107" s="131">
        <v>0.39</v>
      </c>
      <c r="S107" s="131">
        <v>0.3</v>
      </c>
      <c r="T107" s="131">
        <v>0.23</v>
      </c>
      <c r="U107" s="131">
        <v>0.125</v>
      </c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  <c r="AT107" s="131"/>
      <c r="AU107" s="131"/>
      <c r="AV107" s="131"/>
      <c r="AW107" s="131"/>
      <c r="AX107" s="131"/>
      <c r="AY107" s="131"/>
      <c r="AZ107" s="131"/>
      <c r="BA107" s="131"/>
      <c r="BB107" s="131"/>
      <c r="BC107" s="131"/>
      <c r="BD107" s="131"/>
      <c r="BE107" s="131"/>
      <c r="BF107" s="131"/>
      <c r="BG107" s="131"/>
      <c r="BH107" s="131"/>
      <c r="BI107" s="131"/>
      <c r="BJ107" s="131"/>
      <c r="BK107" s="131"/>
      <c r="BL107" s="131"/>
      <c r="BM107" s="131"/>
      <c r="BN107" s="131"/>
      <c r="BO107" s="131"/>
      <c r="BP107" s="131"/>
      <c r="BQ107" s="131"/>
      <c r="BR107" s="131"/>
      <c r="BS107" s="131"/>
      <c r="BT107" s="131"/>
      <c r="BU107" s="131"/>
      <c r="BV107" s="131"/>
      <c r="BW107" s="131"/>
      <c r="BX107" s="131"/>
      <c r="BY107" s="131"/>
      <c r="BZ107" s="131"/>
    </row>
    <row r="108" spans="2:78" s="128" customFormat="1" ht="10.5" hidden="1" x14ac:dyDescent="0.25">
      <c r="B108" s="138">
        <v>28</v>
      </c>
      <c r="C108" s="130">
        <v>5.3999999999999999E-2</v>
      </c>
      <c r="D108" s="131">
        <v>49</v>
      </c>
      <c r="E108" s="131">
        <v>36</v>
      </c>
      <c r="F108" s="131">
        <v>26</v>
      </c>
      <c r="G108" s="131">
        <v>19</v>
      </c>
      <c r="H108" s="131">
        <v>14</v>
      </c>
      <c r="I108" s="131">
        <v>10.5</v>
      </c>
      <c r="J108" s="131">
        <v>8</v>
      </c>
      <c r="K108" s="131">
        <v>5</v>
      </c>
      <c r="L108" s="131">
        <v>3.15</v>
      </c>
      <c r="M108" s="131">
        <v>2.1</v>
      </c>
      <c r="N108" s="131">
        <v>1.5</v>
      </c>
      <c r="O108" s="131">
        <v>1.1000000000000001</v>
      </c>
      <c r="P108" s="131">
        <v>0.77</v>
      </c>
      <c r="Q108" s="131">
        <v>0.54</v>
      </c>
      <c r="R108" s="131">
        <v>0.42499999999999999</v>
      </c>
      <c r="S108" s="131">
        <v>0.32</v>
      </c>
      <c r="T108" s="131">
        <v>0.25</v>
      </c>
      <c r="U108" s="131">
        <v>0.13</v>
      </c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  <c r="AT108" s="131"/>
      <c r="AU108" s="131"/>
      <c r="AV108" s="131"/>
      <c r="AW108" s="131"/>
      <c r="AX108" s="131"/>
      <c r="AY108" s="131"/>
      <c r="AZ108" s="131"/>
      <c r="BA108" s="131"/>
      <c r="BB108" s="131"/>
      <c r="BC108" s="131"/>
      <c r="BD108" s="131"/>
      <c r="BE108" s="131"/>
      <c r="BF108" s="131"/>
      <c r="BG108" s="131"/>
      <c r="BH108" s="131"/>
      <c r="BI108" s="131"/>
      <c r="BJ108" s="131"/>
      <c r="BK108" s="131"/>
      <c r="BL108" s="131"/>
      <c r="BM108" s="131"/>
      <c r="BN108" s="131"/>
      <c r="BO108" s="131"/>
      <c r="BP108" s="131"/>
      <c r="BQ108" s="131"/>
      <c r="BR108" s="131"/>
      <c r="BS108" s="131"/>
      <c r="BT108" s="131"/>
      <c r="BU108" s="131"/>
      <c r="BV108" s="131"/>
      <c r="BW108" s="131"/>
      <c r="BX108" s="131"/>
      <c r="BY108" s="131"/>
      <c r="BZ108" s="131"/>
    </row>
    <row r="109" spans="2:78" s="128" customFormat="1" ht="10.5" hidden="1" x14ac:dyDescent="0.25">
      <c r="B109" s="138">
        <v>29</v>
      </c>
      <c r="C109" s="130">
        <v>5.6000000000000001E-2</v>
      </c>
      <c r="D109" s="131">
        <v>52.5</v>
      </c>
      <c r="E109" s="131">
        <v>39</v>
      </c>
      <c r="F109" s="131">
        <v>29</v>
      </c>
      <c r="G109" s="131">
        <v>20</v>
      </c>
      <c r="H109" s="131">
        <v>15</v>
      </c>
      <c r="I109" s="131">
        <v>11.5</v>
      </c>
      <c r="J109" s="131">
        <v>8.5</v>
      </c>
      <c r="K109" s="131">
        <v>5.25</v>
      </c>
      <c r="L109" s="131">
        <v>3.6</v>
      </c>
      <c r="M109" s="131">
        <v>2.2999999999999998</v>
      </c>
      <c r="N109" s="131">
        <v>1.6</v>
      </c>
      <c r="O109" s="131">
        <v>1.1499999999999999</v>
      </c>
      <c r="P109" s="131">
        <v>0.85</v>
      </c>
      <c r="Q109" s="131">
        <v>0.56999999999999995</v>
      </c>
      <c r="R109" s="131">
        <v>0.45</v>
      </c>
      <c r="S109" s="131">
        <v>0.33</v>
      </c>
      <c r="T109" s="131">
        <v>0.27</v>
      </c>
      <c r="U109" s="131">
        <v>0.14000000000000001</v>
      </c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31"/>
      <c r="AH109" s="131"/>
      <c r="AI109" s="131"/>
      <c r="AJ109" s="131"/>
      <c r="AK109" s="131"/>
      <c r="AL109" s="131"/>
      <c r="AM109" s="131"/>
      <c r="AN109" s="131"/>
      <c r="AO109" s="131"/>
      <c r="AP109" s="131"/>
      <c r="AQ109" s="131"/>
      <c r="AR109" s="131"/>
      <c r="AS109" s="131"/>
      <c r="AT109" s="131"/>
      <c r="AU109" s="131"/>
      <c r="AV109" s="131"/>
      <c r="AW109" s="131"/>
      <c r="AX109" s="131"/>
      <c r="AY109" s="131"/>
      <c r="AZ109" s="131"/>
      <c r="BA109" s="131"/>
      <c r="BB109" s="131"/>
      <c r="BC109" s="131"/>
      <c r="BD109" s="131"/>
      <c r="BE109" s="131"/>
      <c r="BF109" s="131"/>
      <c r="BG109" s="131"/>
      <c r="BH109" s="131"/>
      <c r="BI109" s="131"/>
      <c r="BJ109" s="131"/>
      <c r="BK109" s="131"/>
      <c r="BL109" s="131"/>
      <c r="BM109" s="131"/>
      <c r="BN109" s="131"/>
      <c r="BO109" s="131"/>
      <c r="BP109" s="131"/>
      <c r="BQ109" s="131"/>
      <c r="BR109" s="131"/>
      <c r="BS109" s="131"/>
      <c r="BT109" s="131"/>
      <c r="BU109" s="131"/>
      <c r="BV109" s="131"/>
      <c r="BW109" s="131"/>
      <c r="BX109" s="131"/>
      <c r="BY109" s="131"/>
      <c r="BZ109" s="131"/>
    </row>
    <row r="110" spans="2:78" s="128" customFormat="1" ht="10.5" hidden="1" x14ac:dyDescent="0.25">
      <c r="B110" s="138">
        <v>30</v>
      </c>
      <c r="C110" s="130">
        <v>5.8000000000000003E-2</v>
      </c>
      <c r="D110" s="131">
        <v>57.5</v>
      </c>
      <c r="E110" s="131">
        <v>41</v>
      </c>
      <c r="F110" s="131">
        <v>30</v>
      </c>
      <c r="G110" s="131">
        <v>21</v>
      </c>
      <c r="H110" s="131">
        <v>16</v>
      </c>
      <c r="I110" s="131">
        <v>12</v>
      </c>
      <c r="J110" s="131">
        <v>9.5</v>
      </c>
      <c r="K110" s="131">
        <v>5.5</v>
      </c>
      <c r="L110" s="131">
        <v>3.8</v>
      </c>
      <c r="M110" s="131">
        <v>2.4</v>
      </c>
      <c r="N110" s="131">
        <v>1.7</v>
      </c>
      <c r="O110" s="131">
        <v>1.2</v>
      </c>
      <c r="P110" s="131">
        <v>0.9</v>
      </c>
      <c r="Q110" s="131">
        <v>0.6</v>
      </c>
      <c r="R110" s="131">
        <v>0.47499999999999998</v>
      </c>
      <c r="S110" s="131">
        <v>0.37</v>
      </c>
      <c r="T110" s="131">
        <v>0.28000000000000003</v>
      </c>
      <c r="U110" s="131">
        <v>0.15</v>
      </c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  <c r="AT110" s="131"/>
      <c r="AU110" s="131"/>
      <c r="AV110" s="131"/>
      <c r="AW110" s="131"/>
      <c r="AX110" s="131"/>
      <c r="AY110" s="131"/>
      <c r="AZ110" s="131"/>
      <c r="BA110" s="131"/>
      <c r="BB110" s="131"/>
      <c r="BC110" s="131"/>
      <c r="BD110" s="131"/>
      <c r="BE110" s="131"/>
      <c r="BF110" s="131"/>
      <c r="BG110" s="131"/>
      <c r="BH110" s="131"/>
      <c r="BI110" s="131"/>
      <c r="BJ110" s="131"/>
      <c r="BK110" s="131"/>
      <c r="BL110" s="131"/>
      <c r="BM110" s="131"/>
      <c r="BN110" s="131"/>
      <c r="BO110" s="131"/>
      <c r="BP110" s="131"/>
      <c r="BQ110" s="131"/>
      <c r="BR110" s="131"/>
      <c r="BS110" s="131"/>
      <c r="BT110" s="131"/>
      <c r="BU110" s="131"/>
      <c r="BV110" s="131"/>
      <c r="BW110" s="131"/>
      <c r="BX110" s="131"/>
      <c r="BY110" s="131"/>
      <c r="BZ110" s="131"/>
    </row>
    <row r="111" spans="2:78" s="128" customFormat="1" ht="10.5" hidden="1" x14ac:dyDescent="0.25">
      <c r="B111" s="138">
        <v>31</v>
      </c>
      <c r="C111" s="130">
        <v>0.06</v>
      </c>
      <c r="D111" s="131">
        <v>60</v>
      </c>
      <c r="E111" s="131">
        <v>44</v>
      </c>
      <c r="F111" s="131">
        <v>32</v>
      </c>
      <c r="G111" s="131">
        <v>23</v>
      </c>
      <c r="H111" s="131">
        <v>17</v>
      </c>
      <c r="I111" s="131">
        <v>13</v>
      </c>
      <c r="J111" s="131">
        <v>10</v>
      </c>
      <c r="K111" s="131">
        <v>6</v>
      </c>
      <c r="L111" s="131">
        <v>4</v>
      </c>
      <c r="M111" s="131">
        <v>2.6</v>
      </c>
      <c r="N111" s="131">
        <v>1.8</v>
      </c>
      <c r="O111" s="131">
        <v>1.3</v>
      </c>
      <c r="P111" s="131">
        <v>0.95</v>
      </c>
      <c r="Q111" s="131">
        <v>0.65</v>
      </c>
      <c r="R111" s="131">
        <v>0.5</v>
      </c>
      <c r="S111" s="131">
        <v>0.4</v>
      </c>
      <c r="T111" s="131">
        <v>0.3</v>
      </c>
      <c r="U111" s="131">
        <v>0.16</v>
      </c>
      <c r="V111" s="131">
        <v>0.1</v>
      </c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  <c r="AT111" s="131"/>
      <c r="AU111" s="131"/>
      <c r="AV111" s="131"/>
      <c r="AW111" s="131"/>
      <c r="AX111" s="131"/>
      <c r="AY111" s="131"/>
      <c r="AZ111" s="131"/>
      <c r="BA111" s="131"/>
      <c r="BB111" s="131"/>
      <c r="BC111" s="131"/>
      <c r="BD111" s="131"/>
      <c r="BE111" s="131"/>
      <c r="BF111" s="131"/>
      <c r="BG111" s="131"/>
      <c r="BH111" s="131"/>
      <c r="BI111" s="131"/>
      <c r="BJ111" s="131"/>
      <c r="BK111" s="131"/>
      <c r="BL111" s="131"/>
      <c r="BM111" s="131"/>
      <c r="BN111" s="131"/>
      <c r="BO111" s="131"/>
      <c r="BP111" s="131"/>
      <c r="BQ111" s="131"/>
      <c r="BR111" s="131"/>
      <c r="BS111" s="131"/>
      <c r="BT111" s="131"/>
      <c r="BU111" s="131"/>
      <c r="BV111" s="131"/>
      <c r="BW111" s="131"/>
      <c r="BX111" s="131"/>
      <c r="BY111" s="131"/>
      <c r="BZ111" s="131"/>
    </row>
    <row r="112" spans="2:78" s="128" customFormat="1" ht="10.5" hidden="1" x14ac:dyDescent="0.25">
      <c r="B112" s="138">
        <v>32</v>
      </c>
      <c r="C112" s="130">
        <v>6.5000000000000002E-2</v>
      </c>
      <c r="D112" s="131">
        <v>70</v>
      </c>
      <c r="E112" s="131">
        <v>52</v>
      </c>
      <c r="F112" s="131">
        <v>37</v>
      </c>
      <c r="G112" s="131">
        <v>28.5</v>
      </c>
      <c r="H112" s="131">
        <v>20</v>
      </c>
      <c r="I112" s="131">
        <v>15</v>
      </c>
      <c r="J112" s="131">
        <v>11.5</v>
      </c>
      <c r="K112" s="131">
        <v>7</v>
      </c>
      <c r="L112" s="131">
        <v>4.5999999999999996</v>
      </c>
      <c r="M112" s="131">
        <v>3</v>
      </c>
      <c r="N112" s="131">
        <v>2.1</v>
      </c>
      <c r="O112" s="131">
        <v>1.5</v>
      </c>
      <c r="P112" s="131">
        <v>1.1000000000000001</v>
      </c>
      <c r="Q112" s="131">
        <v>0.75</v>
      </c>
      <c r="R112" s="131">
        <v>0.7</v>
      </c>
      <c r="S112" s="131">
        <v>0.46</v>
      </c>
      <c r="T112" s="131">
        <v>0.36</v>
      </c>
      <c r="U112" s="131">
        <v>0.19</v>
      </c>
      <c r="V112" s="131">
        <v>0.115</v>
      </c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  <c r="AT112" s="131"/>
      <c r="AU112" s="131"/>
      <c r="AV112" s="131"/>
      <c r="AW112" s="131"/>
      <c r="AX112" s="131"/>
      <c r="AY112" s="131"/>
      <c r="AZ112" s="131"/>
      <c r="BA112" s="131"/>
      <c r="BB112" s="131"/>
      <c r="BC112" s="131"/>
      <c r="BD112" s="131"/>
      <c r="BE112" s="131"/>
      <c r="BF112" s="131"/>
      <c r="BG112" s="131"/>
      <c r="BH112" s="131"/>
      <c r="BI112" s="131"/>
      <c r="BJ112" s="131"/>
      <c r="BK112" s="131"/>
      <c r="BL112" s="131"/>
      <c r="BM112" s="131"/>
      <c r="BN112" s="131"/>
      <c r="BO112" s="131"/>
      <c r="BP112" s="131"/>
      <c r="BQ112" s="131"/>
      <c r="BR112" s="131"/>
      <c r="BS112" s="131"/>
      <c r="BT112" s="131"/>
      <c r="BU112" s="131"/>
      <c r="BV112" s="131"/>
      <c r="BW112" s="131"/>
      <c r="BX112" s="131"/>
      <c r="BY112" s="131"/>
      <c r="BZ112" s="131"/>
    </row>
    <row r="113" spans="2:78" s="128" customFormat="1" ht="10.5" hidden="1" x14ac:dyDescent="0.25">
      <c r="B113" s="138">
        <v>33</v>
      </c>
      <c r="C113" s="130">
        <v>7.0000000000000007E-2</v>
      </c>
      <c r="D113" s="131">
        <v>80</v>
      </c>
      <c r="E113" s="131">
        <v>60</v>
      </c>
      <c r="F113" s="131">
        <v>42.5</v>
      </c>
      <c r="G113" s="131">
        <v>31</v>
      </c>
      <c r="H113" s="131">
        <v>23</v>
      </c>
      <c r="I113" s="131">
        <v>17.5</v>
      </c>
      <c r="J113" s="131">
        <v>13.5</v>
      </c>
      <c r="K113" s="131">
        <v>8</v>
      </c>
      <c r="L113" s="131">
        <v>5.4</v>
      </c>
      <c r="M113" s="131">
        <v>3.5</v>
      </c>
      <c r="N113" s="131">
        <v>2.4</v>
      </c>
      <c r="O113" s="131">
        <v>1.75</v>
      </c>
      <c r="P113" s="131">
        <v>1.3</v>
      </c>
      <c r="Q113" s="131">
        <v>0.9</v>
      </c>
      <c r="R113" s="131">
        <v>0.7</v>
      </c>
      <c r="S113" s="131">
        <v>0.53</v>
      </c>
      <c r="T113" s="131">
        <v>0.4</v>
      </c>
      <c r="U113" s="131">
        <v>0.22</v>
      </c>
      <c r="V113" s="131">
        <v>0.13</v>
      </c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31"/>
      <c r="AH113" s="131"/>
      <c r="AI113" s="131"/>
      <c r="AJ113" s="131"/>
      <c r="AK113" s="131"/>
      <c r="AL113" s="131"/>
      <c r="AM113" s="131"/>
      <c r="AN113" s="131"/>
      <c r="AO113" s="131"/>
      <c r="AP113" s="131"/>
      <c r="AQ113" s="131"/>
      <c r="AR113" s="131"/>
      <c r="AS113" s="131"/>
      <c r="AT113" s="131"/>
      <c r="AU113" s="131"/>
      <c r="AV113" s="131"/>
      <c r="AW113" s="131"/>
      <c r="AX113" s="131"/>
      <c r="AY113" s="131"/>
      <c r="AZ113" s="131"/>
      <c r="BA113" s="131"/>
      <c r="BB113" s="131"/>
      <c r="BC113" s="131"/>
      <c r="BD113" s="131"/>
      <c r="BE113" s="131"/>
      <c r="BF113" s="131"/>
      <c r="BG113" s="131"/>
      <c r="BH113" s="131"/>
      <c r="BI113" s="131"/>
      <c r="BJ113" s="131"/>
      <c r="BK113" s="131"/>
      <c r="BL113" s="131"/>
      <c r="BM113" s="131"/>
      <c r="BN113" s="131"/>
      <c r="BO113" s="131"/>
      <c r="BP113" s="131"/>
      <c r="BQ113" s="131"/>
      <c r="BR113" s="131"/>
      <c r="BS113" s="131"/>
      <c r="BT113" s="131"/>
      <c r="BU113" s="131"/>
      <c r="BV113" s="131"/>
      <c r="BW113" s="131"/>
      <c r="BX113" s="131"/>
      <c r="BY113" s="131"/>
      <c r="BZ113" s="131"/>
    </row>
    <row r="114" spans="2:78" s="128" customFormat="1" ht="10.5" hidden="1" x14ac:dyDescent="0.25">
      <c r="B114" s="138">
        <v>34</v>
      </c>
      <c r="C114" s="130">
        <v>7.4999999999999997E-2</v>
      </c>
      <c r="D114" s="131"/>
      <c r="E114" s="131">
        <v>67.5</v>
      </c>
      <c r="F114" s="131">
        <v>50</v>
      </c>
      <c r="G114" s="131">
        <v>35</v>
      </c>
      <c r="H114" s="131">
        <v>26</v>
      </c>
      <c r="I114" s="131">
        <v>20</v>
      </c>
      <c r="J114" s="131">
        <v>15</v>
      </c>
      <c r="K114" s="131">
        <v>9</v>
      </c>
      <c r="L114" s="131">
        <v>6</v>
      </c>
      <c r="M114" s="131">
        <v>4</v>
      </c>
      <c r="N114" s="131">
        <v>2.8</v>
      </c>
      <c r="O114" s="131">
        <v>2</v>
      </c>
      <c r="P114" s="131">
        <v>1.45</v>
      </c>
      <c r="Q114" s="131">
        <v>1</v>
      </c>
      <c r="R114" s="131">
        <v>0.6</v>
      </c>
      <c r="S114" s="131">
        <v>0.6</v>
      </c>
      <c r="T114" s="131">
        <v>0.46</v>
      </c>
      <c r="U114" s="131">
        <v>0.245</v>
      </c>
      <c r="V114" s="131">
        <v>0.15</v>
      </c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31"/>
      <c r="AH114" s="131"/>
      <c r="AI114" s="131"/>
      <c r="AJ114" s="131"/>
      <c r="AK114" s="131"/>
      <c r="AL114" s="131"/>
      <c r="AM114" s="131"/>
      <c r="AN114" s="131"/>
      <c r="AO114" s="131"/>
      <c r="AP114" s="131"/>
      <c r="AQ114" s="131"/>
      <c r="AR114" s="131"/>
      <c r="AS114" s="131"/>
      <c r="AT114" s="131"/>
      <c r="AU114" s="131"/>
      <c r="AV114" s="131"/>
      <c r="AW114" s="131"/>
      <c r="AX114" s="131"/>
      <c r="AY114" s="131"/>
      <c r="AZ114" s="131"/>
      <c r="BA114" s="131"/>
      <c r="BB114" s="131"/>
      <c r="BC114" s="131"/>
      <c r="BD114" s="131"/>
      <c r="BE114" s="131"/>
      <c r="BF114" s="131"/>
      <c r="BG114" s="131"/>
      <c r="BH114" s="131"/>
      <c r="BI114" s="131"/>
      <c r="BJ114" s="131"/>
      <c r="BK114" s="131"/>
      <c r="BL114" s="131"/>
      <c r="BM114" s="131"/>
      <c r="BN114" s="131"/>
      <c r="BO114" s="131"/>
      <c r="BP114" s="131"/>
      <c r="BQ114" s="131"/>
      <c r="BR114" s="131"/>
      <c r="BS114" s="131"/>
      <c r="BT114" s="131"/>
      <c r="BU114" s="131"/>
      <c r="BV114" s="131"/>
      <c r="BW114" s="131"/>
      <c r="BX114" s="131"/>
      <c r="BY114" s="131"/>
      <c r="BZ114" s="131"/>
    </row>
    <row r="115" spans="2:78" s="128" customFormat="1" ht="10.5" hidden="1" x14ac:dyDescent="0.25">
      <c r="B115" s="138">
        <v>35</v>
      </c>
      <c r="C115" s="130">
        <v>0.08</v>
      </c>
      <c r="D115" s="131"/>
      <c r="E115" s="131">
        <v>77.5</v>
      </c>
      <c r="F115" s="131">
        <v>55</v>
      </c>
      <c r="G115" s="131">
        <v>40</v>
      </c>
      <c r="H115" s="131">
        <v>29</v>
      </c>
      <c r="I115" s="131">
        <v>22</v>
      </c>
      <c r="J115" s="131">
        <v>17.5</v>
      </c>
      <c r="K115" s="131">
        <v>10.5</v>
      </c>
      <c r="L115" s="131">
        <v>7</v>
      </c>
      <c r="M115" s="131">
        <v>4.5</v>
      </c>
      <c r="N115" s="131">
        <v>3.1</v>
      </c>
      <c r="O115" s="131">
        <v>2.2000000000000002</v>
      </c>
      <c r="P115" s="131">
        <v>1.65</v>
      </c>
      <c r="Q115" s="131">
        <v>1.1499999999999999</v>
      </c>
      <c r="R115" s="131">
        <v>0.8</v>
      </c>
      <c r="S115" s="131">
        <v>0.7</v>
      </c>
      <c r="T115" s="131">
        <v>0.54</v>
      </c>
      <c r="U115" s="131">
        <v>0.28000000000000003</v>
      </c>
      <c r="V115" s="131">
        <v>0.17</v>
      </c>
      <c r="W115" s="131">
        <v>0.1</v>
      </c>
      <c r="X115" s="131"/>
      <c r="Y115" s="131"/>
      <c r="Z115" s="131"/>
      <c r="AA115" s="131"/>
      <c r="AB115" s="131"/>
      <c r="AC115" s="131"/>
      <c r="AD115" s="131"/>
      <c r="AE115" s="131"/>
      <c r="AF115" s="131"/>
      <c r="AG115" s="131"/>
      <c r="AH115" s="131"/>
      <c r="AI115" s="131"/>
      <c r="AJ115" s="131"/>
      <c r="AK115" s="131"/>
      <c r="AL115" s="131"/>
      <c r="AM115" s="131"/>
      <c r="AN115" s="131"/>
      <c r="AO115" s="131"/>
      <c r="AP115" s="131"/>
      <c r="AQ115" s="131"/>
      <c r="AR115" s="131"/>
      <c r="AS115" s="131"/>
      <c r="AT115" s="131"/>
      <c r="AU115" s="131"/>
      <c r="AV115" s="131"/>
      <c r="AW115" s="131"/>
      <c r="AX115" s="131"/>
      <c r="AY115" s="131"/>
      <c r="AZ115" s="131"/>
      <c r="BA115" s="131"/>
      <c r="BB115" s="131"/>
      <c r="BC115" s="131"/>
      <c r="BD115" s="131"/>
      <c r="BE115" s="131"/>
      <c r="BF115" s="131"/>
      <c r="BG115" s="131"/>
      <c r="BH115" s="131"/>
      <c r="BI115" s="131"/>
      <c r="BJ115" s="131"/>
      <c r="BK115" s="131"/>
      <c r="BL115" s="131"/>
      <c r="BM115" s="131"/>
      <c r="BN115" s="131"/>
      <c r="BO115" s="131"/>
      <c r="BP115" s="131"/>
      <c r="BQ115" s="131"/>
      <c r="BR115" s="131"/>
      <c r="BS115" s="131"/>
      <c r="BT115" s="131"/>
      <c r="BU115" s="131"/>
      <c r="BV115" s="131"/>
      <c r="BW115" s="131"/>
      <c r="BX115" s="131"/>
      <c r="BY115" s="131"/>
      <c r="BZ115" s="131"/>
    </row>
    <row r="116" spans="2:78" s="128" customFormat="1" ht="10.5" hidden="1" x14ac:dyDescent="0.25">
      <c r="B116" s="138">
        <v>36</v>
      </c>
      <c r="C116" s="130">
        <v>8.5000000000000006E-2</v>
      </c>
      <c r="D116" s="131"/>
      <c r="E116" s="131"/>
      <c r="F116" s="131">
        <v>62.5</v>
      </c>
      <c r="G116" s="131">
        <v>45</v>
      </c>
      <c r="H116" s="131">
        <v>33</v>
      </c>
      <c r="I116" s="131">
        <v>25</v>
      </c>
      <c r="J116" s="131">
        <v>20</v>
      </c>
      <c r="K116" s="131">
        <v>11.5</v>
      </c>
      <c r="L116" s="131">
        <v>7.75</v>
      </c>
      <c r="M116" s="131">
        <v>5</v>
      </c>
      <c r="N116" s="131">
        <v>3.5</v>
      </c>
      <c r="O116" s="131">
        <v>2.5</v>
      </c>
      <c r="P116" s="131">
        <v>1.8</v>
      </c>
      <c r="Q116" s="131">
        <v>1.3</v>
      </c>
      <c r="R116" s="131">
        <v>1</v>
      </c>
      <c r="S116" s="131">
        <v>0.75</v>
      </c>
      <c r="T116" s="131">
        <v>0.6</v>
      </c>
      <c r="U116" s="131">
        <v>0.31</v>
      </c>
      <c r="V116" s="131">
        <v>0.19</v>
      </c>
      <c r="W116" s="131">
        <v>0.115</v>
      </c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31"/>
      <c r="AH116" s="131"/>
      <c r="AI116" s="131"/>
      <c r="AJ116" s="131"/>
      <c r="AK116" s="131"/>
      <c r="AL116" s="131"/>
      <c r="AM116" s="131"/>
      <c r="AN116" s="131"/>
      <c r="AO116" s="131"/>
      <c r="AP116" s="131"/>
      <c r="AQ116" s="131"/>
      <c r="AR116" s="131"/>
      <c r="AS116" s="131"/>
      <c r="AT116" s="131"/>
      <c r="AU116" s="131"/>
      <c r="AV116" s="131"/>
      <c r="AW116" s="131"/>
      <c r="AX116" s="131"/>
      <c r="AY116" s="131"/>
      <c r="AZ116" s="131"/>
      <c r="BA116" s="131"/>
      <c r="BB116" s="131"/>
      <c r="BC116" s="131"/>
      <c r="BD116" s="131"/>
      <c r="BE116" s="131"/>
      <c r="BF116" s="131"/>
      <c r="BG116" s="131"/>
      <c r="BH116" s="131"/>
      <c r="BI116" s="131"/>
      <c r="BJ116" s="131"/>
      <c r="BK116" s="131"/>
      <c r="BL116" s="131"/>
      <c r="BM116" s="131"/>
      <c r="BN116" s="131"/>
      <c r="BO116" s="131"/>
      <c r="BP116" s="131"/>
      <c r="BQ116" s="131"/>
      <c r="BR116" s="131"/>
      <c r="BS116" s="131"/>
      <c r="BT116" s="131"/>
      <c r="BU116" s="131"/>
      <c r="BV116" s="131"/>
      <c r="BW116" s="131"/>
      <c r="BX116" s="131"/>
      <c r="BY116" s="131"/>
      <c r="BZ116" s="131"/>
    </row>
    <row r="117" spans="2:78" s="128" customFormat="1" ht="10.5" hidden="1" x14ac:dyDescent="0.25">
      <c r="B117" s="138">
        <v>37</v>
      </c>
      <c r="C117" s="130">
        <v>0.09</v>
      </c>
      <c r="D117" s="131"/>
      <c r="E117" s="131"/>
      <c r="F117" s="131">
        <v>70</v>
      </c>
      <c r="G117" s="131">
        <v>50</v>
      </c>
      <c r="H117" s="131">
        <v>36</v>
      </c>
      <c r="I117" s="131">
        <v>28</v>
      </c>
      <c r="J117" s="131">
        <v>22</v>
      </c>
      <c r="K117" s="131">
        <v>13</v>
      </c>
      <c r="L117" s="131">
        <v>8.5</v>
      </c>
      <c r="M117" s="131">
        <v>5.5</v>
      </c>
      <c r="N117" s="131">
        <v>4</v>
      </c>
      <c r="O117" s="131">
        <v>2.8</v>
      </c>
      <c r="P117" s="131">
        <v>2</v>
      </c>
      <c r="Q117" s="131">
        <v>1.4</v>
      </c>
      <c r="R117" s="131">
        <v>1.1000000000000001</v>
      </c>
      <c r="S117" s="131">
        <v>0.85</v>
      </c>
      <c r="T117" s="131">
        <v>0.65</v>
      </c>
      <c r="U117" s="131">
        <v>0.35</v>
      </c>
      <c r="V117" s="131">
        <v>0.21</v>
      </c>
      <c r="W117" s="131">
        <v>0.125</v>
      </c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1"/>
      <c r="AH117" s="131"/>
      <c r="AI117" s="131"/>
      <c r="AJ117" s="131"/>
      <c r="AK117" s="131"/>
      <c r="AL117" s="131"/>
      <c r="AM117" s="131"/>
      <c r="AN117" s="131"/>
      <c r="AO117" s="131"/>
      <c r="AP117" s="131"/>
      <c r="AQ117" s="131"/>
      <c r="AR117" s="131"/>
      <c r="AS117" s="131"/>
      <c r="AT117" s="131"/>
      <c r="AU117" s="131"/>
      <c r="AV117" s="131"/>
      <c r="AW117" s="131"/>
      <c r="AX117" s="131"/>
      <c r="AY117" s="131"/>
      <c r="AZ117" s="131"/>
      <c r="BA117" s="131"/>
      <c r="BB117" s="131"/>
      <c r="BC117" s="131"/>
      <c r="BD117" s="131"/>
      <c r="BE117" s="131"/>
      <c r="BF117" s="131"/>
      <c r="BG117" s="131"/>
      <c r="BH117" s="131"/>
      <c r="BI117" s="131"/>
      <c r="BJ117" s="131"/>
      <c r="BK117" s="131"/>
      <c r="BL117" s="131"/>
      <c r="BM117" s="131"/>
      <c r="BN117" s="131"/>
      <c r="BO117" s="131"/>
      <c r="BP117" s="131"/>
      <c r="BQ117" s="131"/>
      <c r="BR117" s="131"/>
      <c r="BS117" s="131"/>
      <c r="BT117" s="131"/>
      <c r="BU117" s="131"/>
      <c r="BV117" s="131"/>
      <c r="BW117" s="131"/>
      <c r="BX117" s="131"/>
      <c r="BY117" s="131"/>
      <c r="BZ117" s="131"/>
    </row>
    <row r="118" spans="2:78" s="128" customFormat="1" ht="10.5" hidden="1" x14ac:dyDescent="0.25">
      <c r="B118" s="138">
        <v>38</v>
      </c>
      <c r="C118" s="130">
        <v>9.5000000000000001E-2</v>
      </c>
      <c r="D118" s="131"/>
      <c r="E118" s="131"/>
      <c r="F118" s="131">
        <v>77.5</v>
      </c>
      <c r="G118" s="131">
        <v>56</v>
      </c>
      <c r="H118" s="131">
        <v>40</v>
      </c>
      <c r="I118" s="131">
        <v>31</v>
      </c>
      <c r="J118" s="131">
        <v>24</v>
      </c>
      <c r="K118" s="131">
        <v>14</v>
      </c>
      <c r="L118" s="131">
        <v>9.5</v>
      </c>
      <c r="M118" s="131">
        <v>6</v>
      </c>
      <c r="N118" s="131">
        <v>4.5</v>
      </c>
      <c r="O118" s="131">
        <v>3.1</v>
      </c>
      <c r="P118" s="131">
        <v>2.2000000000000002</v>
      </c>
      <c r="Q118" s="131">
        <v>1.6</v>
      </c>
      <c r="R118" s="131">
        <v>1.2</v>
      </c>
      <c r="S118" s="131">
        <v>0.95</v>
      </c>
      <c r="T118" s="131">
        <v>0.73</v>
      </c>
      <c r="U118" s="131">
        <v>0.38</v>
      </c>
      <c r="V118" s="131">
        <v>0.23</v>
      </c>
      <c r="W118" s="131">
        <v>0.14000000000000001</v>
      </c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1"/>
      <c r="AJ118" s="131"/>
      <c r="AK118" s="131"/>
      <c r="AL118" s="131"/>
      <c r="AM118" s="131"/>
      <c r="AN118" s="131"/>
      <c r="AO118" s="131"/>
      <c r="AP118" s="131"/>
      <c r="AQ118" s="131"/>
      <c r="AR118" s="131"/>
      <c r="AS118" s="131"/>
      <c r="AT118" s="131"/>
      <c r="AU118" s="131"/>
      <c r="AV118" s="131"/>
      <c r="AW118" s="131"/>
      <c r="AX118" s="131"/>
      <c r="AY118" s="131"/>
      <c r="AZ118" s="131"/>
      <c r="BA118" s="131"/>
      <c r="BB118" s="131"/>
      <c r="BC118" s="131"/>
      <c r="BD118" s="131"/>
      <c r="BE118" s="131"/>
      <c r="BF118" s="131"/>
      <c r="BG118" s="131"/>
      <c r="BH118" s="131"/>
      <c r="BI118" s="131"/>
      <c r="BJ118" s="131"/>
      <c r="BK118" s="131"/>
      <c r="BL118" s="131"/>
      <c r="BM118" s="131"/>
      <c r="BN118" s="131"/>
      <c r="BO118" s="131"/>
      <c r="BP118" s="131"/>
      <c r="BQ118" s="131"/>
      <c r="BR118" s="131"/>
      <c r="BS118" s="131"/>
      <c r="BT118" s="131"/>
      <c r="BU118" s="131"/>
      <c r="BV118" s="131"/>
      <c r="BW118" s="131"/>
      <c r="BX118" s="131"/>
      <c r="BY118" s="131"/>
      <c r="BZ118" s="131"/>
    </row>
    <row r="119" spans="2:78" s="128" customFormat="1" ht="10.5" hidden="1" x14ac:dyDescent="0.25">
      <c r="B119" s="138">
        <v>39</v>
      </c>
      <c r="C119" s="130">
        <v>0.1</v>
      </c>
      <c r="D119" s="131"/>
      <c r="E119" s="131"/>
      <c r="F119" s="131">
        <v>85</v>
      </c>
      <c r="G119" s="131">
        <v>62.5</v>
      </c>
      <c r="H119" s="131">
        <v>45</v>
      </c>
      <c r="I119" s="131">
        <v>34</v>
      </c>
      <c r="J119" s="131">
        <v>26</v>
      </c>
      <c r="K119" s="131">
        <v>16</v>
      </c>
      <c r="L119" s="131">
        <v>10.5</v>
      </c>
      <c r="M119" s="131">
        <v>7</v>
      </c>
      <c r="N119" s="131">
        <v>5</v>
      </c>
      <c r="O119" s="131">
        <v>3.4</v>
      </c>
      <c r="P119" s="131">
        <v>2.4</v>
      </c>
      <c r="Q119" s="131">
        <v>1.7</v>
      </c>
      <c r="R119" s="131">
        <v>1.4</v>
      </c>
      <c r="S119" s="131">
        <v>1.05</v>
      </c>
      <c r="T119" s="131">
        <v>0.8</v>
      </c>
      <c r="U119" s="131">
        <v>0.42499999999999999</v>
      </c>
      <c r="V119" s="131">
        <v>0.24</v>
      </c>
      <c r="W119" s="131">
        <v>0.15</v>
      </c>
      <c r="X119" s="131">
        <v>0.1</v>
      </c>
      <c r="Y119" s="131"/>
      <c r="Z119" s="131"/>
      <c r="AA119" s="131"/>
      <c r="AB119" s="131"/>
      <c r="AC119" s="131"/>
      <c r="AD119" s="131"/>
      <c r="AE119" s="131"/>
      <c r="AF119" s="131"/>
      <c r="AG119" s="131"/>
      <c r="AH119" s="131"/>
      <c r="AI119" s="131"/>
      <c r="AJ119" s="131"/>
      <c r="AK119" s="131"/>
      <c r="AL119" s="131"/>
      <c r="AM119" s="131"/>
      <c r="AN119" s="131"/>
      <c r="AO119" s="131"/>
      <c r="AP119" s="131"/>
      <c r="AQ119" s="131"/>
      <c r="AR119" s="131"/>
      <c r="AS119" s="131"/>
      <c r="AT119" s="131"/>
      <c r="AU119" s="131"/>
      <c r="AV119" s="131"/>
      <c r="AW119" s="131"/>
      <c r="AX119" s="131"/>
      <c r="AY119" s="131"/>
      <c r="AZ119" s="131"/>
      <c r="BA119" s="131"/>
      <c r="BB119" s="131"/>
      <c r="BC119" s="131"/>
      <c r="BD119" s="131"/>
      <c r="BE119" s="131"/>
      <c r="BF119" s="131"/>
      <c r="BG119" s="131"/>
      <c r="BH119" s="131"/>
      <c r="BI119" s="131"/>
      <c r="BJ119" s="131"/>
      <c r="BK119" s="131"/>
      <c r="BL119" s="131"/>
      <c r="BM119" s="131"/>
      <c r="BN119" s="131"/>
      <c r="BO119" s="131"/>
      <c r="BP119" s="131"/>
      <c r="BQ119" s="131"/>
      <c r="BR119" s="131"/>
      <c r="BS119" s="131"/>
      <c r="BT119" s="131"/>
      <c r="BU119" s="131"/>
      <c r="BV119" s="131"/>
      <c r="BW119" s="131"/>
      <c r="BX119" s="131"/>
      <c r="BY119" s="131"/>
      <c r="BZ119" s="131"/>
    </row>
    <row r="120" spans="2:78" s="128" customFormat="1" ht="10.5" hidden="1" x14ac:dyDescent="0.25">
      <c r="B120" s="138">
        <v>40</v>
      </c>
      <c r="C120" s="130">
        <v>0.11</v>
      </c>
      <c r="D120" s="131"/>
      <c r="E120" s="131"/>
      <c r="F120" s="131"/>
      <c r="G120" s="131">
        <v>75</v>
      </c>
      <c r="H120" s="131">
        <v>55</v>
      </c>
      <c r="I120" s="131">
        <v>42.5</v>
      </c>
      <c r="J120" s="131">
        <v>32</v>
      </c>
      <c r="K120" s="131">
        <v>20</v>
      </c>
      <c r="L120" s="131">
        <v>13</v>
      </c>
      <c r="M120" s="131">
        <v>8.5</v>
      </c>
      <c r="N120" s="131">
        <v>6</v>
      </c>
      <c r="O120" s="131">
        <v>4</v>
      </c>
      <c r="P120" s="131">
        <v>3</v>
      </c>
      <c r="Q120" s="131">
        <v>2.1</v>
      </c>
      <c r="R120" s="131">
        <v>1.65</v>
      </c>
      <c r="S120" s="131">
        <v>1.3</v>
      </c>
      <c r="T120" s="131">
        <v>0.95</v>
      </c>
      <c r="U120" s="131">
        <v>0.5</v>
      </c>
      <c r="V120" s="131">
        <v>0.3</v>
      </c>
      <c r="W120" s="131">
        <v>0.19</v>
      </c>
      <c r="X120" s="131">
        <v>0.12</v>
      </c>
      <c r="Y120" s="131"/>
      <c r="Z120" s="131"/>
      <c r="AA120" s="131"/>
      <c r="AB120" s="131"/>
      <c r="AC120" s="131"/>
      <c r="AD120" s="131"/>
      <c r="AE120" s="131"/>
      <c r="AF120" s="131"/>
      <c r="AG120" s="131"/>
      <c r="AH120" s="131"/>
      <c r="AI120" s="131"/>
      <c r="AJ120" s="131"/>
      <c r="AK120" s="131"/>
      <c r="AL120" s="131"/>
      <c r="AM120" s="131"/>
      <c r="AN120" s="131"/>
      <c r="AO120" s="131"/>
      <c r="AP120" s="131"/>
      <c r="AQ120" s="131"/>
      <c r="AR120" s="131"/>
      <c r="AS120" s="131"/>
      <c r="AT120" s="131"/>
      <c r="AU120" s="131"/>
      <c r="AV120" s="131"/>
      <c r="AW120" s="131"/>
      <c r="AX120" s="131"/>
      <c r="AY120" s="131"/>
      <c r="AZ120" s="131"/>
      <c r="BA120" s="131"/>
      <c r="BB120" s="131"/>
      <c r="BC120" s="131"/>
      <c r="BD120" s="131"/>
      <c r="BE120" s="131"/>
      <c r="BF120" s="131"/>
      <c r="BG120" s="131"/>
      <c r="BH120" s="131"/>
      <c r="BI120" s="131"/>
      <c r="BJ120" s="131"/>
      <c r="BK120" s="131"/>
      <c r="BL120" s="131"/>
      <c r="BM120" s="131"/>
      <c r="BN120" s="131"/>
      <c r="BO120" s="131"/>
      <c r="BP120" s="131"/>
      <c r="BQ120" s="131"/>
      <c r="BR120" s="131"/>
      <c r="BS120" s="131"/>
      <c r="BT120" s="131"/>
      <c r="BU120" s="131"/>
      <c r="BV120" s="131"/>
      <c r="BW120" s="131"/>
      <c r="BX120" s="131"/>
      <c r="BY120" s="131"/>
      <c r="BZ120" s="131"/>
    </row>
    <row r="121" spans="2:78" s="128" customFormat="1" ht="10.5" hidden="1" x14ac:dyDescent="0.25">
      <c r="B121" s="138">
        <v>41</v>
      </c>
      <c r="C121" s="130">
        <v>0.12</v>
      </c>
      <c r="D121" s="131"/>
      <c r="E121" s="131"/>
      <c r="F121" s="131"/>
      <c r="G121" s="131"/>
      <c r="H121" s="131">
        <v>65</v>
      </c>
      <c r="I121" s="131">
        <v>47.5</v>
      </c>
      <c r="J121" s="131">
        <v>38</v>
      </c>
      <c r="K121" s="131">
        <v>23</v>
      </c>
      <c r="L121" s="131">
        <v>15</v>
      </c>
      <c r="M121" s="131">
        <v>10</v>
      </c>
      <c r="N121" s="131">
        <v>7</v>
      </c>
      <c r="O121" s="131">
        <v>4.7</v>
      </c>
      <c r="P121" s="131">
        <v>3.5</v>
      </c>
      <c r="Q121" s="131">
        <v>2.4</v>
      </c>
      <c r="R121" s="131">
        <v>1.9</v>
      </c>
      <c r="S121" s="131">
        <v>1.5</v>
      </c>
      <c r="T121" s="131">
        <v>1.1000000000000001</v>
      </c>
      <c r="U121" s="131">
        <v>0.6</v>
      </c>
      <c r="V121" s="131">
        <v>0.36</v>
      </c>
      <c r="W121" s="131">
        <v>0.22</v>
      </c>
      <c r="X121" s="131">
        <v>0.14000000000000001</v>
      </c>
      <c r="Y121" s="131">
        <v>0.1</v>
      </c>
      <c r="Z121" s="131"/>
      <c r="AA121" s="131"/>
      <c r="AB121" s="131"/>
      <c r="AC121" s="131"/>
      <c r="AD121" s="131"/>
      <c r="AE121" s="131"/>
      <c r="AF121" s="131"/>
      <c r="AG121" s="131"/>
      <c r="AH121" s="131"/>
      <c r="AI121" s="131"/>
      <c r="AJ121" s="131"/>
      <c r="AK121" s="131"/>
      <c r="AL121" s="131"/>
      <c r="AM121" s="131"/>
      <c r="AN121" s="131"/>
      <c r="AO121" s="131"/>
      <c r="AP121" s="131"/>
      <c r="AQ121" s="131"/>
      <c r="AR121" s="131"/>
      <c r="AS121" s="131"/>
      <c r="AT121" s="131"/>
      <c r="AU121" s="131"/>
      <c r="AV121" s="131"/>
      <c r="AW121" s="131"/>
      <c r="AX121" s="131"/>
      <c r="AY121" s="131"/>
      <c r="AZ121" s="131"/>
      <c r="BA121" s="131"/>
      <c r="BB121" s="131"/>
      <c r="BC121" s="131"/>
      <c r="BD121" s="131"/>
      <c r="BE121" s="131"/>
      <c r="BF121" s="131"/>
      <c r="BG121" s="131"/>
      <c r="BH121" s="131"/>
      <c r="BI121" s="131"/>
      <c r="BJ121" s="131"/>
      <c r="BK121" s="131"/>
      <c r="BL121" s="131"/>
      <c r="BM121" s="131"/>
      <c r="BN121" s="131"/>
      <c r="BO121" s="131"/>
      <c r="BP121" s="131"/>
      <c r="BQ121" s="131"/>
      <c r="BR121" s="131"/>
      <c r="BS121" s="131"/>
      <c r="BT121" s="131"/>
      <c r="BU121" s="131"/>
      <c r="BV121" s="131"/>
      <c r="BW121" s="131"/>
      <c r="BX121" s="131"/>
      <c r="BY121" s="131"/>
      <c r="BZ121" s="131"/>
    </row>
    <row r="122" spans="2:78" s="128" customFormat="1" ht="10.5" hidden="1" x14ac:dyDescent="0.25">
      <c r="B122" s="138">
        <v>42</v>
      </c>
      <c r="C122" s="130">
        <v>0.13</v>
      </c>
      <c r="D122" s="131"/>
      <c r="E122" s="131"/>
      <c r="F122" s="131"/>
      <c r="G122" s="131"/>
      <c r="H122" s="131">
        <v>75</v>
      </c>
      <c r="I122" s="131">
        <v>57.5</v>
      </c>
      <c r="J122" s="131">
        <v>44</v>
      </c>
      <c r="K122" s="131">
        <v>27</v>
      </c>
      <c r="L122" s="131">
        <v>17</v>
      </c>
      <c r="M122" s="131">
        <v>11.5</v>
      </c>
      <c r="N122" s="131">
        <v>8</v>
      </c>
      <c r="O122" s="131">
        <v>5.5</v>
      </c>
      <c r="P122" s="131">
        <v>4</v>
      </c>
      <c r="Q122" s="131">
        <v>2.8</v>
      </c>
      <c r="R122" s="131">
        <v>2.2000000000000002</v>
      </c>
      <c r="S122" s="131">
        <v>1.75</v>
      </c>
      <c r="T122" s="131">
        <v>1.3</v>
      </c>
      <c r="U122" s="131">
        <v>0.7</v>
      </c>
      <c r="V122" s="131">
        <v>0.42</v>
      </c>
      <c r="W122" s="131">
        <v>0.25</v>
      </c>
      <c r="X122" s="131">
        <v>0.16500000000000001</v>
      </c>
      <c r="Y122" s="131">
        <v>0.12</v>
      </c>
      <c r="Z122" s="131"/>
      <c r="AA122" s="131"/>
      <c r="AB122" s="131"/>
      <c r="AC122" s="131"/>
      <c r="AD122" s="131"/>
      <c r="AE122" s="131"/>
      <c r="AF122" s="131"/>
      <c r="AG122" s="131"/>
      <c r="AH122" s="131"/>
      <c r="AI122" s="131"/>
      <c r="AJ122" s="131"/>
      <c r="AK122" s="131"/>
      <c r="AL122" s="131"/>
      <c r="AM122" s="131"/>
      <c r="AN122" s="131"/>
      <c r="AO122" s="131"/>
      <c r="AP122" s="131"/>
      <c r="AQ122" s="131"/>
      <c r="AR122" s="131"/>
      <c r="AS122" s="131"/>
      <c r="AT122" s="131"/>
      <c r="AU122" s="131"/>
      <c r="AV122" s="131"/>
      <c r="AW122" s="131"/>
      <c r="AX122" s="131"/>
      <c r="AY122" s="131"/>
      <c r="AZ122" s="131"/>
      <c r="BA122" s="131"/>
      <c r="BB122" s="131"/>
      <c r="BC122" s="131"/>
      <c r="BD122" s="131"/>
      <c r="BE122" s="131"/>
      <c r="BF122" s="131"/>
      <c r="BG122" s="131"/>
      <c r="BH122" s="131"/>
      <c r="BI122" s="131"/>
      <c r="BJ122" s="131"/>
      <c r="BK122" s="131"/>
      <c r="BL122" s="131"/>
      <c r="BM122" s="131"/>
      <c r="BN122" s="131"/>
      <c r="BO122" s="131"/>
      <c r="BP122" s="131"/>
      <c r="BQ122" s="131"/>
      <c r="BR122" s="131"/>
      <c r="BS122" s="131"/>
      <c r="BT122" s="131"/>
      <c r="BU122" s="131"/>
      <c r="BV122" s="131"/>
      <c r="BW122" s="131"/>
      <c r="BX122" s="131"/>
      <c r="BY122" s="131"/>
      <c r="BZ122" s="131"/>
    </row>
    <row r="123" spans="2:78" s="128" customFormat="1" ht="10.5" hidden="1" x14ac:dyDescent="0.25">
      <c r="B123" s="138">
        <v>43</v>
      </c>
      <c r="C123" s="130">
        <v>0.14000000000000001</v>
      </c>
      <c r="D123" s="131"/>
      <c r="E123" s="131"/>
      <c r="F123" s="131"/>
      <c r="G123" s="131"/>
      <c r="H123" s="131"/>
      <c r="I123" s="131">
        <v>65</v>
      </c>
      <c r="J123" s="131">
        <v>50</v>
      </c>
      <c r="K123" s="131">
        <v>31</v>
      </c>
      <c r="L123" s="131">
        <v>20</v>
      </c>
      <c r="M123" s="131">
        <v>13</v>
      </c>
      <c r="N123" s="131">
        <v>9.5</v>
      </c>
      <c r="O123" s="131">
        <v>6.4</v>
      </c>
      <c r="P123" s="131">
        <v>4.5</v>
      </c>
      <c r="Q123" s="131">
        <v>3.2</v>
      </c>
      <c r="R123" s="131">
        <v>2.6</v>
      </c>
      <c r="S123" s="131">
        <v>2</v>
      </c>
      <c r="T123" s="131">
        <v>1.5</v>
      </c>
      <c r="U123" s="131">
        <v>0.8</v>
      </c>
      <c r="V123" s="131">
        <v>0.47499999999999998</v>
      </c>
      <c r="W123" s="131">
        <v>0.3</v>
      </c>
      <c r="X123" s="131">
        <v>0.19</v>
      </c>
      <c r="Y123" s="131">
        <v>0.16</v>
      </c>
      <c r="Z123" s="131"/>
      <c r="AA123" s="131"/>
      <c r="AB123" s="131"/>
      <c r="AC123" s="131"/>
      <c r="AD123" s="131"/>
      <c r="AE123" s="131"/>
      <c r="AF123" s="131"/>
      <c r="AG123" s="131"/>
      <c r="AH123" s="131"/>
      <c r="AI123" s="131"/>
      <c r="AJ123" s="131"/>
      <c r="AK123" s="131"/>
      <c r="AL123" s="131"/>
      <c r="AM123" s="131"/>
      <c r="AN123" s="131"/>
      <c r="AO123" s="131"/>
      <c r="AP123" s="131"/>
      <c r="AQ123" s="131"/>
      <c r="AR123" s="131"/>
      <c r="AS123" s="131"/>
      <c r="AT123" s="131"/>
      <c r="AU123" s="131"/>
      <c r="AV123" s="131"/>
      <c r="AW123" s="131"/>
      <c r="AX123" s="131"/>
      <c r="AY123" s="131"/>
      <c r="AZ123" s="131"/>
      <c r="BA123" s="131"/>
      <c r="BB123" s="131"/>
      <c r="BC123" s="131"/>
      <c r="BD123" s="131"/>
      <c r="BE123" s="131"/>
      <c r="BF123" s="131"/>
      <c r="BG123" s="131"/>
      <c r="BH123" s="131"/>
      <c r="BI123" s="131"/>
      <c r="BJ123" s="131"/>
      <c r="BK123" s="131"/>
      <c r="BL123" s="131"/>
      <c r="BM123" s="131"/>
      <c r="BN123" s="131"/>
      <c r="BO123" s="131"/>
      <c r="BP123" s="131"/>
      <c r="BQ123" s="131"/>
      <c r="BR123" s="131"/>
      <c r="BS123" s="131"/>
      <c r="BT123" s="131"/>
      <c r="BU123" s="131"/>
      <c r="BV123" s="131"/>
      <c r="BW123" s="131"/>
      <c r="BX123" s="131"/>
      <c r="BY123" s="131"/>
      <c r="BZ123" s="131"/>
    </row>
    <row r="124" spans="2:78" s="128" customFormat="1" ht="10.5" hidden="1" x14ac:dyDescent="0.25">
      <c r="B124" s="138">
        <v>44</v>
      </c>
      <c r="C124" s="130">
        <v>0.15</v>
      </c>
      <c r="D124" s="131"/>
      <c r="E124" s="131"/>
      <c r="F124" s="131"/>
      <c r="G124" s="131"/>
      <c r="H124" s="131"/>
      <c r="I124" s="131">
        <v>75</v>
      </c>
      <c r="J124" s="131">
        <v>57.5</v>
      </c>
      <c r="K124" s="131">
        <v>36</v>
      </c>
      <c r="L124" s="131">
        <v>24</v>
      </c>
      <c r="M124" s="131">
        <v>15</v>
      </c>
      <c r="N124" s="131">
        <v>11</v>
      </c>
      <c r="O124" s="131">
        <v>7.25</v>
      </c>
      <c r="P124" s="131">
        <v>5.25</v>
      </c>
      <c r="Q124" s="131">
        <v>3.7</v>
      </c>
      <c r="R124" s="131">
        <v>3</v>
      </c>
      <c r="S124" s="131">
        <v>2.2999999999999998</v>
      </c>
      <c r="T124" s="131">
        <v>1.75</v>
      </c>
      <c r="U124" s="131">
        <v>0.9</v>
      </c>
      <c r="V124" s="131">
        <v>0.55000000000000004</v>
      </c>
      <c r="W124" s="131">
        <v>0.34</v>
      </c>
      <c r="X124" s="131">
        <v>0.22</v>
      </c>
      <c r="Y124" s="131">
        <v>0.15</v>
      </c>
      <c r="Z124" s="131">
        <v>0.1</v>
      </c>
      <c r="AA124" s="131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  <c r="AO124" s="131"/>
      <c r="AP124" s="131"/>
      <c r="AQ124" s="131"/>
      <c r="AR124" s="131"/>
      <c r="AS124" s="131"/>
      <c r="AT124" s="131"/>
      <c r="AU124" s="131"/>
      <c r="AV124" s="131"/>
      <c r="AW124" s="131"/>
      <c r="AX124" s="131"/>
      <c r="AY124" s="131"/>
      <c r="AZ124" s="131"/>
      <c r="BA124" s="131"/>
      <c r="BB124" s="131"/>
      <c r="BC124" s="131"/>
      <c r="BD124" s="131"/>
      <c r="BE124" s="131"/>
      <c r="BF124" s="131"/>
      <c r="BG124" s="131"/>
      <c r="BH124" s="131"/>
      <c r="BI124" s="131"/>
      <c r="BJ124" s="131"/>
      <c r="BK124" s="131"/>
      <c r="BL124" s="131"/>
      <c r="BM124" s="131"/>
      <c r="BN124" s="131"/>
      <c r="BO124" s="131"/>
      <c r="BP124" s="131"/>
      <c r="BQ124" s="131"/>
      <c r="BR124" s="131"/>
      <c r="BS124" s="131"/>
      <c r="BT124" s="131"/>
      <c r="BU124" s="131"/>
      <c r="BV124" s="131"/>
      <c r="BW124" s="131"/>
      <c r="BX124" s="131"/>
      <c r="BY124" s="131"/>
      <c r="BZ124" s="131"/>
    </row>
    <row r="125" spans="2:78" s="128" customFormat="1" ht="10.5" hidden="1" x14ac:dyDescent="0.25">
      <c r="B125" s="138">
        <v>45</v>
      </c>
      <c r="C125" s="130">
        <v>0.16</v>
      </c>
      <c r="D125" s="131"/>
      <c r="E125" s="131"/>
      <c r="F125" s="131"/>
      <c r="G125" s="131"/>
      <c r="H125" s="131"/>
      <c r="I125" s="131"/>
      <c r="J125" s="131">
        <v>66</v>
      </c>
      <c r="K125" s="131">
        <v>40</v>
      </c>
      <c r="L125" s="131">
        <v>26</v>
      </c>
      <c r="M125" s="131">
        <v>17</v>
      </c>
      <c r="N125" s="131">
        <v>12</v>
      </c>
      <c r="O125" s="131">
        <v>8.25</v>
      </c>
      <c r="P125" s="131">
        <v>6</v>
      </c>
      <c r="Q125" s="131">
        <v>4.25</v>
      </c>
      <c r="R125" s="131">
        <v>3.3</v>
      </c>
      <c r="S125" s="131">
        <v>2.6</v>
      </c>
      <c r="T125" s="131">
        <v>1.95</v>
      </c>
      <c r="U125" s="131">
        <v>1</v>
      </c>
      <c r="V125" s="131">
        <v>0.625</v>
      </c>
      <c r="W125" s="131">
        <v>0.38</v>
      </c>
      <c r="X125" s="131">
        <v>0.24</v>
      </c>
      <c r="Y125" s="131">
        <v>0.17</v>
      </c>
      <c r="Z125" s="131">
        <v>0.115</v>
      </c>
      <c r="AA125" s="131"/>
      <c r="AB125" s="131"/>
      <c r="AC125" s="131"/>
      <c r="AD125" s="131"/>
      <c r="AE125" s="131"/>
      <c r="AF125" s="131"/>
      <c r="AG125" s="131"/>
      <c r="AH125" s="131"/>
      <c r="AI125" s="131"/>
      <c r="AJ125" s="131"/>
      <c r="AK125" s="131"/>
      <c r="AL125" s="131"/>
      <c r="AM125" s="131"/>
      <c r="AN125" s="131"/>
      <c r="AO125" s="131"/>
      <c r="AP125" s="131"/>
      <c r="AQ125" s="131"/>
      <c r="AR125" s="131"/>
      <c r="AS125" s="131"/>
      <c r="AT125" s="131"/>
      <c r="AU125" s="131"/>
      <c r="AV125" s="131"/>
      <c r="AW125" s="131"/>
      <c r="AX125" s="131"/>
      <c r="AY125" s="131"/>
      <c r="AZ125" s="131"/>
      <c r="BA125" s="131"/>
      <c r="BB125" s="131"/>
      <c r="BC125" s="131"/>
      <c r="BD125" s="131"/>
      <c r="BE125" s="131"/>
      <c r="BF125" s="131"/>
      <c r="BG125" s="131"/>
      <c r="BH125" s="131"/>
      <c r="BI125" s="131"/>
      <c r="BJ125" s="131"/>
      <c r="BK125" s="131"/>
      <c r="BL125" s="131"/>
      <c r="BM125" s="131"/>
      <c r="BN125" s="131"/>
      <c r="BO125" s="131"/>
      <c r="BP125" s="131"/>
      <c r="BQ125" s="131"/>
      <c r="BR125" s="131"/>
      <c r="BS125" s="131"/>
      <c r="BT125" s="131"/>
      <c r="BU125" s="131"/>
      <c r="BV125" s="131"/>
      <c r="BW125" s="131"/>
      <c r="BX125" s="131"/>
      <c r="BY125" s="131"/>
      <c r="BZ125" s="131"/>
    </row>
    <row r="126" spans="2:78" s="128" customFormat="1" ht="10.5" hidden="1" x14ac:dyDescent="0.25">
      <c r="B126" s="138">
        <v>46</v>
      </c>
      <c r="C126" s="130">
        <v>0.17</v>
      </c>
      <c r="D126" s="131"/>
      <c r="E126" s="131"/>
      <c r="F126" s="131"/>
      <c r="G126" s="131"/>
      <c r="H126" s="131"/>
      <c r="I126" s="131"/>
      <c r="J126" s="131">
        <v>75</v>
      </c>
      <c r="K126" s="131">
        <v>45</v>
      </c>
      <c r="L126" s="131">
        <v>30</v>
      </c>
      <c r="M126" s="131">
        <v>19</v>
      </c>
      <c r="N126" s="131">
        <v>14</v>
      </c>
      <c r="O126" s="131">
        <v>9.25</v>
      </c>
      <c r="P126" s="131">
        <v>6.75</v>
      </c>
      <c r="Q126" s="131">
        <v>4.5999999999999996</v>
      </c>
      <c r="R126" s="131">
        <v>3.7</v>
      </c>
      <c r="S126" s="131">
        <v>2.9</v>
      </c>
      <c r="T126" s="131">
        <v>2.2000000000000002</v>
      </c>
      <c r="U126" s="131">
        <v>1.1499999999999999</v>
      </c>
      <c r="V126" s="131">
        <v>0.7</v>
      </c>
      <c r="W126" s="131">
        <v>0.42499999999999999</v>
      </c>
      <c r="X126" s="131">
        <v>0.28000000000000003</v>
      </c>
      <c r="Y126" s="131">
        <v>0.19</v>
      </c>
      <c r="Z126" s="131">
        <v>0.13</v>
      </c>
      <c r="AA126" s="131"/>
      <c r="AB126" s="131"/>
      <c r="AC126" s="131"/>
      <c r="AD126" s="131"/>
      <c r="AE126" s="131"/>
      <c r="AF126" s="131"/>
      <c r="AG126" s="131"/>
      <c r="AH126" s="131"/>
      <c r="AI126" s="131"/>
      <c r="AJ126" s="131"/>
      <c r="AK126" s="131"/>
      <c r="AL126" s="131"/>
      <c r="AM126" s="131"/>
      <c r="AN126" s="131"/>
      <c r="AO126" s="131"/>
      <c r="AP126" s="131"/>
      <c r="AQ126" s="131"/>
      <c r="AR126" s="131"/>
      <c r="AS126" s="131"/>
      <c r="AT126" s="131"/>
      <c r="AU126" s="131"/>
      <c r="AV126" s="131"/>
      <c r="AW126" s="131"/>
      <c r="AX126" s="131"/>
      <c r="AY126" s="131"/>
      <c r="AZ126" s="131"/>
      <c r="BA126" s="131"/>
      <c r="BB126" s="131"/>
      <c r="BC126" s="131"/>
      <c r="BD126" s="131"/>
      <c r="BE126" s="131"/>
      <c r="BF126" s="131"/>
      <c r="BG126" s="131"/>
      <c r="BH126" s="131"/>
      <c r="BI126" s="131"/>
      <c r="BJ126" s="131"/>
      <c r="BK126" s="131"/>
      <c r="BL126" s="131"/>
      <c r="BM126" s="131"/>
      <c r="BN126" s="131"/>
      <c r="BO126" s="131"/>
      <c r="BP126" s="131"/>
      <c r="BQ126" s="131"/>
      <c r="BR126" s="131"/>
      <c r="BS126" s="131"/>
      <c r="BT126" s="131"/>
      <c r="BU126" s="131"/>
      <c r="BV126" s="131"/>
      <c r="BW126" s="131"/>
      <c r="BX126" s="131"/>
      <c r="BY126" s="131"/>
      <c r="BZ126" s="131"/>
    </row>
    <row r="127" spans="2:78" s="128" customFormat="1" ht="10.5" hidden="1" x14ac:dyDescent="0.25">
      <c r="B127" s="138">
        <v>47</v>
      </c>
      <c r="C127" s="130">
        <v>0.18</v>
      </c>
      <c r="D127" s="131"/>
      <c r="E127" s="131"/>
      <c r="F127" s="131"/>
      <c r="G127" s="131"/>
      <c r="H127" s="131"/>
      <c r="I127" s="131"/>
      <c r="J127" s="131"/>
      <c r="K127" s="131">
        <v>50</v>
      </c>
      <c r="L127" s="131">
        <v>33</v>
      </c>
      <c r="M127" s="131">
        <v>21</v>
      </c>
      <c r="N127" s="131">
        <v>15</v>
      </c>
      <c r="O127" s="131">
        <v>10.5</v>
      </c>
      <c r="P127" s="131">
        <v>7.5</v>
      </c>
      <c r="Q127" s="131">
        <v>5.25</v>
      </c>
      <c r="R127" s="131">
        <v>4.0999999999999996</v>
      </c>
      <c r="S127" s="131">
        <v>3.2</v>
      </c>
      <c r="T127" s="131">
        <v>2.4</v>
      </c>
      <c r="U127" s="131">
        <v>1.3</v>
      </c>
      <c r="V127" s="131">
        <v>0.77</v>
      </c>
      <c r="W127" s="131">
        <v>0.47499999999999998</v>
      </c>
      <c r="X127" s="131">
        <v>0.3</v>
      </c>
      <c r="Y127" s="131">
        <v>0.21</v>
      </c>
      <c r="Z127" s="131">
        <v>0.14499999999999999</v>
      </c>
      <c r="AA127" s="131">
        <v>0.1</v>
      </c>
      <c r="AB127" s="131"/>
      <c r="AC127" s="131"/>
      <c r="AD127" s="131"/>
      <c r="AE127" s="131"/>
      <c r="AF127" s="131"/>
      <c r="AG127" s="131"/>
      <c r="AH127" s="131"/>
      <c r="AI127" s="131"/>
      <c r="AJ127" s="131"/>
      <c r="AK127" s="131"/>
      <c r="AL127" s="131"/>
      <c r="AM127" s="131"/>
      <c r="AN127" s="131"/>
      <c r="AO127" s="131"/>
      <c r="AP127" s="131"/>
      <c r="AQ127" s="131"/>
      <c r="AR127" s="131"/>
      <c r="AS127" s="131"/>
      <c r="AT127" s="131"/>
      <c r="AU127" s="131"/>
      <c r="AV127" s="131"/>
      <c r="AW127" s="131"/>
      <c r="AX127" s="131"/>
      <c r="AY127" s="131"/>
      <c r="AZ127" s="131"/>
      <c r="BA127" s="131"/>
      <c r="BB127" s="131"/>
      <c r="BC127" s="131"/>
      <c r="BD127" s="131"/>
      <c r="BE127" s="131"/>
      <c r="BF127" s="131"/>
      <c r="BG127" s="131"/>
      <c r="BH127" s="131"/>
      <c r="BI127" s="131"/>
      <c r="BJ127" s="131"/>
      <c r="BK127" s="131"/>
      <c r="BL127" s="131"/>
      <c r="BM127" s="131"/>
      <c r="BN127" s="131"/>
      <c r="BO127" s="131"/>
      <c r="BP127" s="131"/>
      <c r="BQ127" s="131"/>
      <c r="BR127" s="131"/>
      <c r="BS127" s="131"/>
      <c r="BT127" s="131"/>
      <c r="BU127" s="131"/>
      <c r="BV127" s="131"/>
      <c r="BW127" s="131"/>
      <c r="BX127" s="131"/>
      <c r="BY127" s="131"/>
      <c r="BZ127" s="131"/>
    </row>
    <row r="128" spans="2:78" s="128" customFormat="1" ht="10.5" hidden="1" x14ac:dyDescent="0.25">
      <c r="B128" s="138">
        <v>48</v>
      </c>
      <c r="C128" s="130">
        <v>0.19</v>
      </c>
      <c r="D128" s="131"/>
      <c r="E128" s="131"/>
      <c r="F128" s="131"/>
      <c r="G128" s="131"/>
      <c r="H128" s="131"/>
      <c r="I128" s="131"/>
      <c r="J128" s="131"/>
      <c r="K128" s="131">
        <v>55</v>
      </c>
      <c r="L128" s="131">
        <v>36</v>
      </c>
      <c r="M128" s="131">
        <v>24</v>
      </c>
      <c r="N128" s="131">
        <v>17</v>
      </c>
      <c r="O128" s="131">
        <v>11.5</v>
      </c>
      <c r="P128" s="131">
        <v>8.5</v>
      </c>
      <c r="Q128" s="131">
        <v>5.75</v>
      </c>
      <c r="R128" s="131">
        <v>4.5</v>
      </c>
      <c r="S128" s="131">
        <v>3.6</v>
      </c>
      <c r="T128" s="131">
        <v>2.7</v>
      </c>
      <c r="U128" s="131">
        <v>1.4</v>
      </c>
      <c r="V128" s="131">
        <v>0.85</v>
      </c>
      <c r="W128" s="131">
        <v>0.52500000000000002</v>
      </c>
      <c r="X128" s="131">
        <v>0.34</v>
      </c>
      <c r="Y128" s="131">
        <v>0.23</v>
      </c>
      <c r="Z128" s="131">
        <v>0.16</v>
      </c>
      <c r="AA128" s="131">
        <v>0.11</v>
      </c>
      <c r="AB128" s="131"/>
      <c r="AC128" s="131"/>
      <c r="AD128" s="131"/>
      <c r="AE128" s="131"/>
      <c r="AF128" s="131"/>
      <c r="AG128" s="131"/>
      <c r="AH128" s="131"/>
      <c r="AI128" s="131"/>
      <c r="AJ128" s="131"/>
      <c r="AK128" s="131"/>
      <c r="AL128" s="131"/>
      <c r="AM128" s="131"/>
      <c r="AN128" s="131"/>
      <c r="AO128" s="131"/>
      <c r="AP128" s="131"/>
      <c r="AQ128" s="131"/>
      <c r="AR128" s="131"/>
      <c r="AS128" s="131"/>
      <c r="AT128" s="131"/>
      <c r="AU128" s="131"/>
      <c r="AV128" s="131"/>
      <c r="AW128" s="131"/>
      <c r="AX128" s="131"/>
      <c r="AY128" s="131"/>
      <c r="AZ128" s="131"/>
      <c r="BA128" s="131"/>
      <c r="BB128" s="131"/>
      <c r="BC128" s="131"/>
      <c r="BD128" s="131"/>
      <c r="BE128" s="131"/>
      <c r="BF128" s="131"/>
      <c r="BG128" s="131"/>
      <c r="BH128" s="131"/>
      <c r="BI128" s="131"/>
      <c r="BJ128" s="131"/>
      <c r="BK128" s="131"/>
      <c r="BL128" s="131"/>
      <c r="BM128" s="131"/>
      <c r="BN128" s="131"/>
      <c r="BO128" s="131"/>
      <c r="BP128" s="131"/>
      <c r="BQ128" s="131"/>
      <c r="BR128" s="131"/>
      <c r="BS128" s="131"/>
      <c r="BT128" s="131"/>
      <c r="BU128" s="131"/>
      <c r="BV128" s="131"/>
      <c r="BW128" s="131"/>
      <c r="BX128" s="131"/>
      <c r="BY128" s="131"/>
      <c r="BZ128" s="131"/>
    </row>
    <row r="129" spans="2:78" s="128" customFormat="1" ht="10.5" hidden="1" x14ac:dyDescent="0.25">
      <c r="B129" s="138">
        <v>49</v>
      </c>
      <c r="C129" s="130">
        <v>0.2</v>
      </c>
      <c r="D129" s="131"/>
      <c r="E129" s="131"/>
      <c r="F129" s="131"/>
      <c r="G129" s="131"/>
      <c r="H129" s="131"/>
      <c r="I129" s="131"/>
      <c r="J129" s="131"/>
      <c r="K129" s="131">
        <v>60</v>
      </c>
      <c r="L129" s="131">
        <v>40</v>
      </c>
      <c r="M129" s="131">
        <v>27</v>
      </c>
      <c r="N129" s="131">
        <v>18.5</v>
      </c>
      <c r="O129" s="131">
        <v>12.5</v>
      </c>
      <c r="P129" s="131">
        <v>9</v>
      </c>
      <c r="Q129" s="131">
        <v>6.25</v>
      </c>
      <c r="R129" s="131">
        <v>5</v>
      </c>
      <c r="S129" s="131">
        <v>4</v>
      </c>
      <c r="T129" s="131">
        <v>3</v>
      </c>
      <c r="U129" s="131">
        <v>1.55</v>
      </c>
      <c r="V129" s="131">
        <v>0.95</v>
      </c>
      <c r="W129" s="131">
        <v>0.6</v>
      </c>
      <c r="X129" s="131">
        <v>0.38</v>
      </c>
      <c r="Y129" s="131">
        <v>0.26</v>
      </c>
      <c r="Z129" s="131">
        <v>0.17499999999999999</v>
      </c>
      <c r="AA129" s="131">
        <v>0.14000000000000001</v>
      </c>
      <c r="AB129" s="131"/>
      <c r="AC129" s="131"/>
      <c r="AD129" s="131"/>
      <c r="AE129" s="131"/>
      <c r="AF129" s="131"/>
      <c r="AG129" s="131"/>
      <c r="AH129" s="131"/>
      <c r="AI129" s="131"/>
      <c r="AJ129" s="131"/>
      <c r="AK129" s="131"/>
      <c r="AL129" s="131"/>
      <c r="AM129" s="131"/>
      <c r="AN129" s="131"/>
      <c r="AO129" s="131"/>
      <c r="AP129" s="131"/>
      <c r="AQ129" s="131"/>
      <c r="AR129" s="131"/>
      <c r="AS129" s="131"/>
      <c r="AT129" s="131"/>
      <c r="AU129" s="131"/>
      <c r="AV129" s="131"/>
      <c r="AW129" s="131"/>
      <c r="AX129" s="131"/>
      <c r="AY129" s="131"/>
      <c r="AZ129" s="131"/>
      <c r="BA129" s="131"/>
      <c r="BB129" s="131"/>
      <c r="BC129" s="131"/>
      <c r="BD129" s="131"/>
      <c r="BE129" s="131"/>
      <c r="BF129" s="131"/>
      <c r="BG129" s="131"/>
      <c r="BH129" s="131"/>
      <c r="BI129" s="131"/>
      <c r="BJ129" s="131"/>
      <c r="BK129" s="131"/>
      <c r="BL129" s="131"/>
      <c r="BM129" s="131"/>
      <c r="BN129" s="131"/>
      <c r="BO129" s="131"/>
      <c r="BP129" s="131"/>
      <c r="BQ129" s="131"/>
      <c r="BR129" s="131"/>
      <c r="BS129" s="131"/>
      <c r="BT129" s="131"/>
      <c r="BU129" s="131"/>
      <c r="BV129" s="131"/>
      <c r="BW129" s="131"/>
      <c r="BX129" s="131"/>
      <c r="BY129" s="131"/>
      <c r="BZ129" s="131"/>
    </row>
    <row r="130" spans="2:78" s="128" customFormat="1" ht="10.5" hidden="1" x14ac:dyDescent="0.25">
      <c r="B130" s="138">
        <v>50</v>
      </c>
      <c r="C130" s="130">
        <v>0.21</v>
      </c>
      <c r="D130" s="131"/>
      <c r="E130" s="131"/>
      <c r="F130" s="131"/>
      <c r="G130" s="131"/>
      <c r="H130" s="131"/>
      <c r="I130" s="131"/>
      <c r="J130" s="131"/>
      <c r="K130" s="131">
        <v>65</v>
      </c>
      <c r="L130" s="131">
        <v>44</v>
      </c>
      <c r="M130" s="131">
        <v>30</v>
      </c>
      <c r="N130" s="131">
        <v>20.5</v>
      </c>
      <c r="O130" s="131">
        <v>14</v>
      </c>
      <c r="P130" s="131">
        <v>10</v>
      </c>
      <c r="Q130" s="131">
        <v>7</v>
      </c>
      <c r="R130" s="131">
        <v>5.5</v>
      </c>
      <c r="S130" s="131">
        <v>4.4000000000000004</v>
      </c>
      <c r="T130" s="131">
        <v>3.2</v>
      </c>
      <c r="U130" s="131">
        <v>1.7</v>
      </c>
      <c r="V130" s="131">
        <v>1.05</v>
      </c>
      <c r="W130" s="131">
        <v>0.65</v>
      </c>
      <c r="X130" s="131">
        <v>0.4</v>
      </c>
      <c r="Y130" s="131">
        <v>0.28000000000000003</v>
      </c>
      <c r="Z130" s="131">
        <v>0.19</v>
      </c>
      <c r="AA130" s="131">
        <v>0.13</v>
      </c>
      <c r="AB130" s="131">
        <v>0.1</v>
      </c>
      <c r="AC130" s="131"/>
      <c r="AD130" s="131"/>
      <c r="AE130" s="131"/>
      <c r="AF130" s="131"/>
      <c r="AG130" s="131"/>
      <c r="AH130" s="131"/>
      <c r="AI130" s="131"/>
      <c r="AJ130" s="131"/>
      <c r="AK130" s="131"/>
      <c r="AL130" s="131"/>
      <c r="AM130" s="131"/>
      <c r="AN130" s="131"/>
      <c r="AO130" s="131"/>
      <c r="AP130" s="131"/>
      <c r="AQ130" s="131"/>
      <c r="AR130" s="131"/>
      <c r="AS130" s="131"/>
      <c r="AT130" s="131"/>
      <c r="AU130" s="131"/>
      <c r="AV130" s="131"/>
      <c r="AW130" s="131"/>
      <c r="AX130" s="131"/>
      <c r="AY130" s="131"/>
      <c r="AZ130" s="131"/>
      <c r="BA130" s="131"/>
      <c r="BB130" s="131"/>
      <c r="BC130" s="131"/>
      <c r="BD130" s="131"/>
      <c r="BE130" s="131"/>
      <c r="BF130" s="131"/>
      <c r="BG130" s="131"/>
      <c r="BH130" s="131"/>
      <c r="BI130" s="131"/>
      <c r="BJ130" s="131"/>
      <c r="BK130" s="131"/>
      <c r="BL130" s="131"/>
      <c r="BM130" s="131"/>
      <c r="BN130" s="131"/>
      <c r="BO130" s="131"/>
      <c r="BP130" s="131"/>
      <c r="BQ130" s="131"/>
      <c r="BR130" s="131"/>
      <c r="BS130" s="131"/>
      <c r="BT130" s="131"/>
      <c r="BU130" s="131"/>
      <c r="BV130" s="131"/>
      <c r="BW130" s="131"/>
      <c r="BX130" s="131"/>
      <c r="BY130" s="131"/>
      <c r="BZ130" s="131"/>
    </row>
    <row r="131" spans="2:78" s="128" customFormat="1" ht="10.5" hidden="1" x14ac:dyDescent="0.25">
      <c r="B131" s="138">
        <v>51</v>
      </c>
      <c r="C131" s="130">
        <v>0.22</v>
      </c>
      <c r="D131" s="131"/>
      <c r="E131" s="131"/>
      <c r="F131" s="131"/>
      <c r="G131" s="131"/>
      <c r="H131" s="131"/>
      <c r="I131" s="131"/>
      <c r="J131" s="131"/>
      <c r="K131" s="131">
        <v>72.5</v>
      </c>
      <c r="L131" s="131">
        <v>48</v>
      </c>
      <c r="M131" s="131">
        <v>33</v>
      </c>
      <c r="N131" s="131">
        <v>23</v>
      </c>
      <c r="O131" s="131">
        <v>15</v>
      </c>
      <c r="P131" s="131">
        <v>11</v>
      </c>
      <c r="Q131" s="131">
        <v>7.5</v>
      </c>
      <c r="R131" s="131">
        <v>6</v>
      </c>
      <c r="S131" s="131">
        <v>4.7</v>
      </c>
      <c r="T131" s="131">
        <v>3.6</v>
      </c>
      <c r="U131" s="131">
        <v>1.9</v>
      </c>
      <c r="V131" s="131">
        <v>1.1499999999999999</v>
      </c>
      <c r="W131" s="131">
        <v>0.7</v>
      </c>
      <c r="X131" s="131">
        <v>0.44</v>
      </c>
      <c r="Y131" s="131">
        <v>0.3</v>
      </c>
      <c r="Z131" s="131">
        <v>0.21</v>
      </c>
      <c r="AA131" s="131">
        <v>0.14000000000000001</v>
      </c>
      <c r="AB131" s="131">
        <v>0.11</v>
      </c>
      <c r="AC131" s="131"/>
      <c r="AD131" s="131"/>
      <c r="AE131" s="131"/>
      <c r="AF131" s="131"/>
      <c r="AG131" s="131"/>
      <c r="AH131" s="131"/>
      <c r="AI131" s="131"/>
      <c r="AJ131" s="131"/>
      <c r="AK131" s="131"/>
      <c r="AL131" s="131"/>
      <c r="AM131" s="131"/>
      <c r="AN131" s="131"/>
      <c r="AO131" s="131"/>
      <c r="AP131" s="131"/>
      <c r="AQ131" s="131"/>
      <c r="AR131" s="131"/>
      <c r="AS131" s="131"/>
      <c r="AT131" s="131"/>
      <c r="AU131" s="131"/>
      <c r="AV131" s="131"/>
      <c r="AW131" s="131"/>
      <c r="AX131" s="131"/>
      <c r="AY131" s="131"/>
      <c r="AZ131" s="131"/>
      <c r="BA131" s="131"/>
      <c r="BB131" s="131"/>
      <c r="BC131" s="131"/>
      <c r="BD131" s="131"/>
      <c r="BE131" s="131"/>
      <c r="BF131" s="131"/>
      <c r="BG131" s="131"/>
      <c r="BH131" s="131"/>
      <c r="BI131" s="131"/>
      <c r="BJ131" s="131"/>
      <c r="BK131" s="131"/>
      <c r="BL131" s="131"/>
      <c r="BM131" s="131"/>
      <c r="BN131" s="131"/>
      <c r="BO131" s="131"/>
      <c r="BP131" s="131"/>
      <c r="BQ131" s="131"/>
      <c r="BR131" s="131"/>
      <c r="BS131" s="131"/>
      <c r="BT131" s="131"/>
      <c r="BU131" s="131"/>
      <c r="BV131" s="131"/>
      <c r="BW131" s="131"/>
      <c r="BX131" s="131"/>
      <c r="BY131" s="131"/>
      <c r="BZ131" s="131"/>
    </row>
    <row r="132" spans="2:78" s="128" customFormat="1" ht="10.5" hidden="1" x14ac:dyDescent="0.25">
      <c r="B132" s="138">
        <v>52</v>
      </c>
      <c r="C132" s="130">
        <v>0.23</v>
      </c>
      <c r="D132" s="131"/>
      <c r="E132" s="131"/>
      <c r="F132" s="131"/>
      <c r="G132" s="131"/>
      <c r="H132" s="131"/>
      <c r="I132" s="131"/>
      <c r="J132" s="131"/>
      <c r="K132" s="131">
        <v>80</v>
      </c>
      <c r="L132" s="131">
        <v>52</v>
      </c>
      <c r="M132" s="131">
        <v>36</v>
      </c>
      <c r="N132" s="131">
        <v>25</v>
      </c>
      <c r="O132" s="131">
        <v>16.5</v>
      </c>
      <c r="P132" s="131">
        <v>12</v>
      </c>
      <c r="Q132" s="131">
        <v>8</v>
      </c>
      <c r="R132" s="131">
        <v>6.5</v>
      </c>
      <c r="S132" s="131">
        <v>5.3</v>
      </c>
      <c r="T132" s="131">
        <v>3.9</v>
      </c>
      <c r="U132" s="131">
        <v>2</v>
      </c>
      <c r="V132" s="131">
        <v>1.25</v>
      </c>
      <c r="W132" s="131">
        <v>0.75</v>
      </c>
      <c r="X132" s="131">
        <v>0.47499999999999998</v>
      </c>
      <c r="Y132" s="131">
        <v>0.34</v>
      </c>
      <c r="Z132" s="131">
        <v>0.23</v>
      </c>
      <c r="AA132" s="131">
        <v>0.16</v>
      </c>
      <c r="AB132" s="131">
        <v>0.12</v>
      </c>
      <c r="AC132" s="131"/>
      <c r="AD132" s="131"/>
      <c r="AE132" s="131"/>
      <c r="AF132" s="131"/>
      <c r="AG132" s="131"/>
      <c r="AH132" s="131"/>
      <c r="AI132" s="131"/>
      <c r="AJ132" s="131"/>
      <c r="AK132" s="131"/>
      <c r="AL132" s="131"/>
      <c r="AM132" s="131"/>
      <c r="AN132" s="131"/>
      <c r="AO132" s="131"/>
      <c r="AP132" s="131"/>
      <c r="AQ132" s="131"/>
      <c r="AR132" s="131"/>
      <c r="AS132" s="131"/>
      <c r="AT132" s="131"/>
      <c r="AU132" s="131"/>
      <c r="AV132" s="131"/>
      <c r="AW132" s="131"/>
      <c r="AX132" s="131"/>
      <c r="AY132" s="131"/>
      <c r="AZ132" s="131"/>
      <c r="BA132" s="131"/>
      <c r="BB132" s="131"/>
      <c r="BC132" s="131"/>
      <c r="BD132" s="131"/>
      <c r="BE132" s="131"/>
      <c r="BF132" s="131"/>
      <c r="BG132" s="131"/>
      <c r="BH132" s="131"/>
      <c r="BI132" s="131"/>
      <c r="BJ132" s="131"/>
      <c r="BK132" s="131"/>
      <c r="BL132" s="131"/>
      <c r="BM132" s="131"/>
      <c r="BN132" s="131"/>
      <c r="BO132" s="131"/>
      <c r="BP132" s="131"/>
      <c r="BQ132" s="131"/>
      <c r="BR132" s="131"/>
      <c r="BS132" s="131"/>
      <c r="BT132" s="131"/>
      <c r="BU132" s="131"/>
      <c r="BV132" s="131"/>
      <c r="BW132" s="131"/>
      <c r="BX132" s="131"/>
      <c r="BY132" s="131"/>
      <c r="BZ132" s="131"/>
    </row>
    <row r="133" spans="2:78" s="128" customFormat="1" ht="10.5" hidden="1" x14ac:dyDescent="0.25">
      <c r="B133" s="138">
        <v>53</v>
      </c>
      <c r="C133" s="130">
        <v>0.24</v>
      </c>
      <c r="D133" s="131"/>
      <c r="E133" s="131"/>
      <c r="F133" s="131"/>
      <c r="G133" s="131"/>
      <c r="H133" s="131"/>
      <c r="I133" s="131"/>
      <c r="J133" s="131"/>
      <c r="K133" s="131"/>
      <c r="L133" s="131">
        <v>56</v>
      </c>
      <c r="M133" s="131">
        <v>38</v>
      </c>
      <c r="N133" s="131">
        <v>27</v>
      </c>
      <c r="O133" s="131">
        <v>18</v>
      </c>
      <c r="P133" s="131">
        <v>13</v>
      </c>
      <c r="Q133" s="131">
        <v>9</v>
      </c>
      <c r="R133" s="131">
        <v>7</v>
      </c>
      <c r="S133" s="131">
        <v>5.7</v>
      </c>
      <c r="T133" s="131">
        <v>4.2</v>
      </c>
      <c r="U133" s="131">
        <v>2.2000000000000002</v>
      </c>
      <c r="V133" s="131">
        <v>1.35</v>
      </c>
      <c r="W133" s="131">
        <v>0.85</v>
      </c>
      <c r="X133" s="131">
        <v>0.52</v>
      </c>
      <c r="Y133" s="131">
        <v>0.36</v>
      </c>
      <c r="Z133" s="131">
        <v>0.26</v>
      </c>
      <c r="AA133" s="131">
        <v>0.17</v>
      </c>
      <c r="AB133" s="131">
        <v>0.13</v>
      </c>
      <c r="AC133" s="131"/>
      <c r="AD133" s="131"/>
      <c r="AE133" s="131"/>
      <c r="AF133" s="131"/>
      <c r="AG133" s="131"/>
      <c r="AH133" s="131"/>
      <c r="AI133" s="131"/>
      <c r="AJ133" s="131"/>
      <c r="AK133" s="131"/>
      <c r="AL133" s="131"/>
      <c r="AM133" s="131"/>
      <c r="AN133" s="131"/>
      <c r="AO133" s="131"/>
      <c r="AP133" s="131"/>
      <c r="AQ133" s="131"/>
      <c r="AR133" s="131"/>
      <c r="AS133" s="131"/>
      <c r="AT133" s="131"/>
      <c r="AU133" s="131"/>
      <c r="AV133" s="131"/>
      <c r="AW133" s="131"/>
      <c r="AX133" s="131"/>
      <c r="AY133" s="131"/>
      <c r="AZ133" s="131"/>
      <c r="BA133" s="131"/>
      <c r="BB133" s="131"/>
      <c r="BC133" s="131"/>
      <c r="BD133" s="131"/>
      <c r="BE133" s="131"/>
      <c r="BF133" s="131"/>
      <c r="BG133" s="131"/>
      <c r="BH133" s="131"/>
      <c r="BI133" s="131"/>
      <c r="BJ133" s="131"/>
      <c r="BK133" s="131"/>
      <c r="BL133" s="131"/>
      <c r="BM133" s="131"/>
      <c r="BN133" s="131"/>
      <c r="BO133" s="131"/>
      <c r="BP133" s="131"/>
      <c r="BQ133" s="131"/>
      <c r="BR133" s="131"/>
      <c r="BS133" s="131"/>
      <c r="BT133" s="131"/>
      <c r="BU133" s="131"/>
      <c r="BV133" s="131"/>
      <c r="BW133" s="131"/>
      <c r="BX133" s="131"/>
      <c r="BY133" s="131"/>
      <c r="BZ133" s="131"/>
    </row>
    <row r="134" spans="2:78" s="128" customFormat="1" ht="10.5" hidden="1" x14ac:dyDescent="0.25">
      <c r="B134" s="138">
        <v>54</v>
      </c>
      <c r="C134" s="130">
        <v>0.25</v>
      </c>
      <c r="D134" s="131"/>
      <c r="E134" s="131"/>
      <c r="F134" s="131"/>
      <c r="G134" s="131"/>
      <c r="H134" s="131"/>
      <c r="I134" s="131"/>
      <c r="J134" s="131"/>
      <c r="K134" s="131"/>
      <c r="L134" s="131">
        <v>60</v>
      </c>
      <c r="M134" s="131">
        <v>42</v>
      </c>
      <c r="N134" s="131">
        <v>29</v>
      </c>
      <c r="O134" s="131">
        <v>19</v>
      </c>
      <c r="P134" s="131">
        <v>14</v>
      </c>
      <c r="Q134" s="131">
        <v>9.5</v>
      </c>
      <c r="R134" s="131">
        <v>7.5</v>
      </c>
      <c r="S134" s="131">
        <v>6</v>
      </c>
      <c r="T134" s="131">
        <v>4.5</v>
      </c>
      <c r="U134" s="131">
        <v>2.4</v>
      </c>
      <c r="V134" s="131">
        <v>1.45</v>
      </c>
      <c r="W134" s="131">
        <v>0.9</v>
      </c>
      <c r="X134" s="131">
        <v>0.55000000000000004</v>
      </c>
      <c r="Y134" s="131">
        <v>0.39</v>
      </c>
      <c r="Z134" s="131">
        <v>0.27</v>
      </c>
      <c r="AA134" s="131">
        <v>0.185</v>
      </c>
      <c r="AB134" s="131">
        <v>0.14000000000000001</v>
      </c>
      <c r="AC134" s="131">
        <v>0.1</v>
      </c>
      <c r="AD134" s="131"/>
      <c r="AE134" s="131"/>
      <c r="AF134" s="131"/>
      <c r="AG134" s="131"/>
      <c r="AH134" s="131"/>
      <c r="AI134" s="131"/>
      <c r="AJ134" s="131"/>
      <c r="AK134" s="131"/>
      <c r="AL134" s="131"/>
      <c r="AM134" s="131"/>
      <c r="AN134" s="131"/>
      <c r="AO134" s="131"/>
      <c r="AP134" s="131"/>
      <c r="AQ134" s="131"/>
      <c r="AR134" s="131"/>
      <c r="AS134" s="131"/>
      <c r="AT134" s="131"/>
      <c r="AU134" s="131"/>
      <c r="AV134" s="131"/>
      <c r="AW134" s="131"/>
      <c r="AX134" s="131"/>
      <c r="AY134" s="131"/>
      <c r="AZ134" s="131"/>
      <c r="BA134" s="131"/>
      <c r="BB134" s="131"/>
      <c r="BC134" s="131"/>
      <c r="BD134" s="131"/>
      <c r="BE134" s="131"/>
      <c r="BF134" s="131"/>
      <c r="BG134" s="131"/>
      <c r="BH134" s="131"/>
      <c r="BI134" s="131"/>
      <c r="BJ134" s="131"/>
      <c r="BK134" s="131"/>
      <c r="BL134" s="131"/>
      <c r="BM134" s="131"/>
      <c r="BN134" s="131"/>
      <c r="BO134" s="131"/>
      <c r="BP134" s="131"/>
      <c r="BQ134" s="131"/>
      <c r="BR134" s="131"/>
      <c r="BS134" s="131"/>
      <c r="BT134" s="131"/>
      <c r="BU134" s="131"/>
      <c r="BV134" s="131"/>
      <c r="BW134" s="131"/>
      <c r="BX134" s="131"/>
      <c r="BY134" s="131"/>
      <c r="BZ134" s="131"/>
    </row>
    <row r="135" spans="2:78" s="128" customFormat="1" ht="10.5" hidden="1" x14ac:dyDescent="0.25">
      <c r="B135" s="138">
        <v>55</v>
      </c>
      <c r="C135" s="130">
        <v>0.26</v>
      </c>
      <c r="D135" s="131"/>
      <c r="E135" s="131"/>
      <c r="F135" s="131"/>
      <c r="G135" s="131"/>
      <c r="H135" s="131"/>
      <c r="I135" s="131"/>
      <c r="J135" s="131"/>
      <c r="K135" s="131"/>
      <c r="L135" s="131">
        <v>65</v>
      </c>
      <c r="M135" s="131">
        <v>45</v>
      </c>
      <c r="N135" s="131">
        <v>31</v>
      </c>
      <c r="O135" s="131">
        <v>21</v>
      </c>
      <c r="P135" s="131">
        <v>15</v>
      </c>
      <c r="Q135" s="131">
        <v>11</v>
      </c>
      <c r="R135" s="131">
        <v>8.5</v>
      </c>
      <c r="S135" s="131">
        <v>6.5</v>
      </c>
      <c r="T135" s="131">
        <v>4.8</v>
      </c>
      <c r="U135" s="131">
        <v>2.6</v>
      </c>
      <c r="V135" s="131">
        <v>1.6</v>
      </c>
      <c r="W135" s="131">
        <v>1</v>
      </c>
      <c r="X135" s="131">
        <v>0.6</v>
      </c>
      <c r="Y135" s="131">
        <v>0.42499999999999999</v>
      </c>
      <c r="Z135" s="131">
        <v>0.29499999999999998</v>
      </c>
      <c r="AA135" s="131">
        <v>0.2</v>
      </c>
      <c r="AB135" s="131">
        <v>0.15</v>
      </c>
      <c r="AC135" s="131">
        <v>0.11</v>
      </c>
      <c r="AD135" s="131"/>
      <c r="AE135" s="131"/>
      <c r="AF135" s="131"/>
      <c r="AG135" s="131"/>
      <c r="AH135" s="131"/>
      <c r="AI135" s="131"/>
      <c r="AJ135" s="131"/>
      <c r="AK135" s="131"/>
      <c r="AL135" s="131"/>
      <c r="AM135" s="131"/>
      <c r="AN135" s="131"/>
      <c r="AO135" s="131"/>
      <c r="AP135" s="131"/>
      <c r="AQ135" s="131"/>
      <c r="AR135" s="131"/>
      <c r="AS135" s="131"/>
      <c r="AT135" s="131"/>
      <c r="AU135" s="131"/>
      <c r="AV135" s="131"/>
      <c r="AW135" s="131"/>
      <c r="AX135" s="131"/>
      <c r="AY135" s="131"/>
      <c r="AZ135" s="131"/>
      <c r="BA135" s="131"/>
      <c r="BB135" s="131"/>
      <c r="BC135" s="131"/>
      <c r="BD135" s="131"/>
      <c r="BE135" s="131"/>
      <c r="BF135" s="131"/>
      <c r="BG135" s="131"/>
      <c r="BH135" s="131"/>
      <c r="BI135" s="131"/>
      <c r="BJ135" s="131"/>
      <c r="BK135" s="131"/>
      <c r="BL135" s="131"/>
      <c r="BM135" s="131"/>
      <c r="BN135" s="131"/>
      <c r="BO135" s="131"/>
      <c r="BP135" s="131"/>
      <c r="BQ135" s="131"/>
      <c r="BR135" s="131"/>
      <c r="BS135" s="131"/>
      <c r="BT135" s="131"/>
      <c r="BU135" s="131"/>
      <c r="BV135" s="131"/>
      <c r="BW135" s="131"/>
      <c r="BX135" s="131"/>
      <c r="BY135" s="131"/>
      <c r="BZ135" s="131"/>
    </row>
    <row r="136" spans="2:78" s="128" customFormat="1" ht="10.5" hidden="1" x14ac:dyDescent="0.25">
      <c r="B136" s="138">
        <v>56</v>
      </c>
      <c r="C136" s="130">
        <v>0.27</v>
      </c>
      <c r="D136" s="131"/>
      <c r="E136" s="131"/>
      <c r="F136" s="131"/>
      <c r="G136" s="131"/>
      <c r="H136" s="131"/>
      <c r="I136" s="131"/>
      <c r="J136" s="131"/>
      <c r="K136" s="131"/>
      <c r="L136" s="131">
        <v>70</v>
      </c>
      <c r="M136" s="131">
        <v>48</v>
      </c>
      <c r="N136" s="131">
        <v>33</v>
      </c>
      <c r="O136" s="131">
        <v>22</v>
      </c>
      <c r="P136" s="131">
        <v>16</v>
      </c>
      <c r="Q136" s="131">
        <v>12</v>
      </c>
      <c r="R136" s="131">
        <v>9</v>
      </c>
      <c r="S136" s="131">
        <v>7</v>
      </c>
      <c r="T136" s="131">
        <v>5.3</v>
      </c>
      <c r="U136" s="131">
        <v>2.8</v>
      </c>
      <c r="V136" s="131">
        <v>1.7</v>
      </c>
      <c r="W136" s="131">
        <v>1.05</v>
      </c>
      <c r="X136" s="131">
        <v>0.65</v>
      </c>
      <c r="Y136" s="131">
        <v>0.45</v>
      </c>
      <c r="Z136" s="131">
        <v>0.31</v>
      </c>
      <c r="AA136" s="131">
        <v>0.22</v>
      </c>
      <c r="AB136" s="131">
        <v>0.16</v>
      </c>
      <c r="AC136" s="131">
        <v>0.115</v>
      </c>
      <c r="AD136" s="131"/>
      <c r="AE136" s="131"/>
      <c r="AF136" s="131"/>
      <c r="AG136" s="131"/>
      <c r="AH136" s="131"/>
      <c r="AI136" s="131"/>
      <c r="AJ136" s="131"/>
      <c r="AK136" s="131"/>
      <c r="AL136" s="131"/>
      <c r="AM136" s="131"/>
      <c r="AN136" s="131"/>
      <c r="AO136" s="131"/>
      <c r="AP136" s="131"/>
      <c r="AQ136" s="131"/>
      <c r="AR136" s="131"/>
      <c r="AS136" s="131"/>
      <c r="AT136" s="131"/>
      <c r="AU136" s="131"/>
      <c r="AV136" s="131"/>
      <c r="AW136" s="131"/>
      <c r="AX136" s="131"/>
      <c r="AY136" s="131"/>
      <c r="AZ136" s="131"/>
      <c r="BA136" s="131"/>
      <c r="BB136" s="131"/>
      <c r="BC136" s="131"/>
      <c r="BD136" s="131"/>
      <c r="BE136" s="131"/>
      <c r="BF136" s="131"/>
      <c r="BG136" s="131"/>
      <c r="BH136" s="131"/>
      <c r="BI136" s="131"/>
      <c r="BJ136" s="131"/>
      <c r="BK136" s="131"/>
      <c r="BL136" s="131"/>
      <c r="BM136" s="131"/>
      <c r="BN136" s="131"/>
      <c r="BO136" s="131"/>
      <c r="BP136" s="131"/>
      <c r="BQ136" s="131"/>
      <c r="BR136" s="131"/>
      <c r="BS136" s="131"/>
      <c r="BT136" s="131"/>
      <c r="BU136" s="131"/>
      <c r="BV136" s="131"/>
      <c r="BW136" s="131"/>
      <c r="BX136" s="131"/>
      <c r="BY136" s="131"/>
      <c r="BZ136" s="131"/>
    </row>
    <row r="137" spans="2:78" s="128" customFormat="1" ht="10.5" hidden="1" x14ac:dyDescent="0.25">
      <c r="B137" s="138">
        <v>57</v>
      </c>
      <c r="C137" s="130">
        <v>0.28000000000000003</v>
      </c>
      <c r="D137" s="131"/>
      <c r="E137" s="131"/>
      <c r="F137" s="131"/>
      <c r="G137" s="131"/>
      <c r="H137" s="131"/>
      <c r="I137" s="131"/>
      <c r="J137" s="131"/>
      <c r="K137" s="131"/>
      <c r="L137" s="131">
        <v>75</v>
      </c>
      <c r="M137" s="131">
        <v>50</v>
      </c>
      <c r="N137" s="131">
        <v>36</v>
      </c>
      <c r="O137" s="131">
        <v>24</v>
      </c>
      <c r="P137" s="131">
        <v>18</v>
      </c>
      <c r="Q137" s="131">
        <v>13</v>
      </c>
      <c r="R137" s="131">
        <v>9.5</v>
      </c>
      <c r="S137" s="131">
        <v>7.5</v>
      </c>
      <c r="T137" s="131">
        <v>5.5</v>
      </c>
      <c r="U137" s="131">
        <v>3</v>
      </c>
      <c r="V137" s="131">
        <v>1.8</v>
      </c>
      <c r="W137" s="131">
        <v>1.1000000000000001</v>
      </c>
      <c r="X137" s="131">
        <v>0.7</v>
      </c>
      <c r="Y137" s="131">
        <v>0.47499999999999998</v>
      </c>
      <c r="Z137" s="131">
        <v>0.34</v>
      </c>
      <c r="AA137" s="131">
        <v>0.23</v>
      </c>
      <c r="AB137" s="131">
        <v>0.17</v>
      </c>
      <c r="AC137" s="131">
        <v>0.125</v>
      </c>
      <c r="AD137" s="131"/>
      <c r="AE137" s="131"/>
      <c r="AF137" s="131"/>
      <c r="AG137" s="131"/>
      <c r="AH137" s="131"/>
      <c r="AI137" s="131"/>
      <c r="AJ137" s="131"/>
      <c r="AK137" s="131"/>
      <c r="AL137" s="131"/>
      <c r="AM137" s="131"/>
      <c r="AN137" s="131"/>
      <c r="AO137" s="131"/>
      <c r="AP137" s="131"/>
      <c r="AQ137" s="131"/>
      <c r="AR137" s="131"/>
      <c r="AS137" s="131"/>
      <c r="AT137" s="131"/>
      <c r="AU137" s="131"/>
      <c r="AV137" s="131"/>
      <c r="AW137" s="131"/>
      <c r="AX137" s="131"/>
      <c r="AY137" s="131"/>
      <c r="AZ137" s="131"/>
      <c r="BA137" s="131"/>
      <c r="BB137" s="131"/>
      <c r="BC137" s="131"/>
      <c r="BD137" s="131"/>
      <c r="BE137" s="131"/>
      <c r="BF137" s="131"/>
      <c r="BG137" s="131"/>
      <c r="BH137" s="131"/>
      <c r="BI137" s="131"/>
      <c r="BJ137" s="131"/>
      <c r="BK137" s="131"/>
      <c r="BL137" s="131"/>
      <c r="BM137" s="131"/>
      <c r="BN137" s="131"/>
      <c r="BO137" s="131"/>
      <c r="BP137" s="131"/>
      <c r="BQ137" s="131"/>
      <c r="BR137" s="131"/>
      <c r="BS137" s="131"/>
      <c r="BT137" s="131"/>
      <c r="BU137" s="131"/>
      <c r="BV137" s="131"/>
      <c r="BW137" s="131"/>
      <c r="BX137" s="131"/>
      <c r="BY137" s="131"/>
      <c r="BZ137" s="131"/>
    </row>
    <row r="138" spans="2:78" s="128" customFormat="1" ht="10.5" hidden="1" x14ac:dyDescent="0.25">
      <c r="B138" s="138">
        <v>58</v>
      </c>
      <c r="C138" s="130">
        <v>0.28999999999999998</v>
      </c>
      <c r="D138" s="131"/>
      <c r="E138" s="131"/>
      <c r="F138" s="131"/>
      <c r="G138" s="131"/>
      <c r="H138" s="131"/>
      <c r="I138" s="131"/>
      <c r="J138" s="131"/>
      <c r="K138" s="131"/>
      <c r="L138" s="131">
        <v>80</v>
      </c>
      <c r="M138" s="131">
        <v>55</v>
      </c>
      <c r="N138" s="131">
        <v>38</v>
      </c>
      <c r="O138" s="131">
        <v>26</v>
      </c>
      <c r="P138" s="131">
        <v>19</v>
      </c>
      <c r="Q138" s="131">
        <v>14</v>
      </c>
      <c r="R138" s="131">
        <v>10.5</v>
      </c>
      <c r="S138" s="131">
        <v>8</v>
      </c>
      <c r="T138" s="131">
        <v>6</v>
      </c>
      <c r="U138" s="131">
        <v>3.2</v>
      </c>
      <c r="V138" s="131">
        <v>1.9</v>
      </c>
      <c r="W138" s="131">
        <v>1.2</v>
      </c>
      <c r="X138" s="131">
        <v>0.75</v>
      </c>
      <c r="Y138" s="131">
        <v>0.52500000000000002</v>
      </c>
      <c r="Z138" s="131">
        <v>0.36</v>
      </c>
      <c r="AA138" s="131">
        <v>0.24</v>
      </c>
      <c r="AB138" s="131">
        <v>0.185</v>
      </c>
      <c r="AC138" s="131">
        <v>0.13500000000000001</v>
      </c>
      <c r="AD138" s="131">
        <v>0.1</v>
      </c>
      <c r="AE138" s="131"/>
      <c r="AF138" s="131"/>
      <c r="AG138" s="131"/>
      <c r="AH138" s="131"/>
      <c r="AI138" s="131"/>
      <c r="AJ138" s="131"/>
      <c r="AK138" s="131"/>
      <c r="AL138" s="131"/>
      <c r="AM138" s="131"/>
      <c r="AN138" s="131"/>
      <c r="AO138" s="131"/>
      <c r="AP138" s="131"/>
      <c r="AQ138" s="131"/>
      <c r="AR138" s="131"/>
      <c r="AS138" s="131"/>
      <c r="AT138" s="131"/>
      <c r="AU138" s="131"/>
      <c r="AV138" s="131"/>
      <c r="AW138" s="131"/>
      <c r="AX138" s="131"/>
      <c r="AY138" s="131"/>
      <c r="AZ138" s="131"/>
      <c r="BA138" s="131"/>
      <c r="BB138" s="131"/>
      <c r="BC138" s="131"/>
      <c r="BD138" s="131"/>
      <c r="BE138" s="131"/>
      <c r="BF138" s="131"/>
      <c r="BG138" s="131"/>
      <c r="BH138" s="131"/>
      <c r="BI138" s="131"/>
      <c r="BJ138" s="131"/>
      <c r="BK138" s="131"/>
      <c r="BL138" s="131"/>
      <c r="BM138" s="131"/>
      <c r="BN138" s="131"/>
      <c r="BO138" s="131"/>
      <c r="BP138" s="131"/>
      <c r="BQ138" s="131"/>
      <c r="BR138" s="131"/>
      <c r="BS138" s="131"/>
      <c r="BT138" s="131"/>
      <c r="BU138" s="131"/>
      <c r="BV138" s="131"/>
      <c r="BW138" s="131"/>
      <c r="BX138" s="131"/>
      <c r="BY138" s="131"/>
      <c r="BZ138" s="131"/>
    </row>
    <row r="139" spans="2:78" s="128" customFormat="1" ht="10.5" hidden="1" x14ac:dyDescent="0.25">
      <c r="B139" s="138">
        <v>59</v>
      </c>
      <c r="C139" s="130">
        <v>0.3</v>
      </c>
      <c r="D139" s="131"/>
      <c r="E139" s="131"/>
      <c r="F139" s="131"/>
      <c r="G139" s="131"/>
      <c r="H139" s="131"/>
      <c r="I139" s="131"/>
      <c r="J139" s="131"/>
      <c r="K139" s="131"/>
      <c r="L139" s="131"/>
      <c r="M139" s="131">
        <v>60</v>
      </c>
      <c r="N139" s="131">
        <v>40</v>
      </c>
      <c r="O139" s="131">
        <v>28</v>
      </c>
      <c r="P139" s="131">
        <v>20</v>
      </c>
      <c r="Q139" s="131">
        <v>15</v>
      </c>
      <c r="R139" s="131">
        <v>11</v>
      </c>
      <c r="S139" s="131">
        <v>8.6999999999999993</v>
      </c>
      <c r="T139" s="131">
        <v>6.4</v>
      </c>
      <c r="U139" s="131">
        <v>3.3</v>
      </c>
      <c r="V139" s="131">
        <v>2</v>
      </c>
      <c r="W139" s="131">
        <v>1.3</v>
      </c>
      <c r="X139" s="131">
        <v>0.8</v>
      </c>
      <c r="Y139" s="131">
        <v>0.55000000000000004</v>
      </c>
      <c r="Z139" s="131">
        <v>0.38</v>
      </c>
      <c r="AA139" s="131">
        <v>0.26</v>
      </c>
      <c r="AB139" s="131">
        <v>0.2</v>
      </c>
      <c r="AC139" s="131">
        <v>0.14000000000000001</v>
      </c>
      <c r="AD139" s="131">
        <v>0.105</v>
      </c>
      <c r="AE139" s="131"/>
      <c r="AF139" s="131"/>
      <c r="AG139" s="131"/>
      <c r="AH139" s="131"/>
      <c r="AI139" s="131"/>
      <c r="AJ139" s="131"/>
      <c r="AK139" s="131"/>
      <c r="AL139" s="131"/>
      <c r="AM139" s="131"/>
      <c r="AN139" s="131"/>
      <c r="AO139" s="131"/>
      <c r="AP139" s="131"/>
      <c r="AQ139" s="131"/>
      <c r="AR139" s="131"/>
      <c r="AS139" s="131"/>
      <c r="AT139" s="131"/>
      <c r="AU139" s="131"/>
      <c r="AV139" s="131"/>
      <c r="AW139" s="131"/>
      <c r="AX139" s="131"/>
      <c r="AY139" s="131"/>
      <c r="AZ139" s="131"/>
      <c r="BA139" s="131"/>
      <c r="BB139" s="131"/>
      <c r="BC139" s="131"/>
      <c r="BD139" s="131"/>
      <c r="BE139" s="131"/>
      <c r="BF139" s="131"/>
      <c r="BG139" s="131"/>
      <c r="BH139" s="131"/>
      <c r="BI139" s="131"/>
      <c r="BJ139" s="131"/>
      <c r="BK139" s="131"/>
      <c r="BL139" s="131"/>
      <c r="BM139" s="131"/>
      <c r="BN139" s="131"/>
      <c r="BO139" s="131"/>
      <c r="BP139" s="131"/>
      <c r="BQ139" s="131"/>
      <c r="BR139" s="131"/>
      <c r="BS139" s="131"/>
      <c r="BT139" s="131"/>
      <c r="BU139" s="131"/>
      <c r="BV139" s="131"/>
      <c r="BW139" s="131"/>
      <c r="BX139" s="131"/>
      <c r="BY139" s="131"/>
      <c r="BZ139" s="131"/>
    </row>
    <row r="140" spans="2:78" s="128" customFormat="1" ht="10.5" hidden="1" x14ac:dyDescent="0.25">
      <c r="B140" s="138">
        <v>60</v>
      </c>
      <c r="C140" s="130">
        <v>0.32</v>
      </c>
      <c r="D140" s="131"/>
      <c r="E140" s="131"/>
      <c r="F140" s="131"/>
      <c r="G140" s="131"/>
      <c r="H140" s="131"/>
      <c r="I140" s="131"/>
      <c r="J140" s="131"/>
      <c r="K140" s="131"/>
      <c r="L140" s="131"/>
      <c r="M140" s="131">
        <v>65</v>
      </c>
      <c r="N140" s="131">
        <v>45</v>
      </c>
      <c r="O140" s="131">
        <v>32</v>
      </c>
      <c r="P140" s="131">
        <v>23</v>
      </c>
      <c r="Q140" s="131">
        <v>17</v>
      </c>
      <c r="R140" s="131">
        <v>12.5</v>
      </c>
      <c r="S140" s="131">
        <v>10</v>
      </c>
      <c r="T140" s="131">
        <v>7</v>
      </c>
      <c r="U140" s="131">
        <v>3.9</v>
      </c>
      <c r="V140" s="131">
        <v>2.2999999999999998</v>
      </c>
      <c r="W140" s="131">
        <v>1.45</v>
      </c>
      <c r="X140" s="131">
        <v>0.9</v>
      </c>
      <c r="Y140" s="131">
        <v>0.6</v>
      </c>
      <c r="Z140" s="131">
        <v>0.42499999999999999</v>
      </c>
      <c r="AA140" s="131">
        <v>0.3</v>
      </c>
      <c r="AB140" s="131">
        <v>0.22</v>
      </c>
      <c r="AC140" s="131">
        <v>0.16</v>
      </c>
      <c r="AD140" s="131">
        <v>0.12</v>
      </c>
      <c r="AE140" s="131"/>
      <c r="AF140" s="131"/>
      <c r="AG140" s="131"/>
      <c r="AH140" s="131"/>
      <c r="AI140" s="131"/>
      <c r="AJ140" s="131"/>
      <c r="AK140" s="131"/>
      <c r="AL140" s="131"/>
      <c r="AM140" s="131"/>
      <c r="AN140" s="131"/>
      <c r="AO140" s="131"/>
      <c r="AP140" s="131"/>
      <c r="AQ140" s="131"/>
      <c r="AR140" s="131"/>
      <c r="AS140" s="131"/>
      <c r="AT140" s="131"/>
      <c r="AU140" s="131"/>
      <c r="AV140" s="131"/>
      <c r="AW140" s="131"/>
      <c r="AX140" s="131"/>
      <c r="AY140" s="131"/>
      <c r="AZ140" s="131"/>
      <c r="BA140" s="131"/>
      <c r="BB140" s="131"/>
      <c r="BC140" s="131"/>
      <c r="BD140" s="131"/>
      <c r="BE140" s="131"/>
      <c r="BF140" s="131"/>
      <c r="BG140" s="131"/>
      <c r="BH140" s="131"/>
      <c r="BI140" s="131"/>
      <c r="BJ140" s="131"/>
      <c r="BK140" s="131"/>
      <c r="BL140" s="131"/>
      <c r="BM140" s="131"/>
      <c r="BN140" s="131"/>
      <c r="BO140" s="131"/>
      <c r="BP140" s="131"/>
      <c r="BQ140" s="131"/>
      <c r="BR140" s="131"/>
      <c r="BS140" s="131"/>
      <c r="BT140" s="131"/>
      <c r="BU140" s="131"/>
      <c r="BV140" s="131"/>
      <c r="BW140" s="131"/>
      <c r="BX140" s="131"/>
      <c r="BY140" s="131"/>
      <c r="BZ140" s="131"/>
    </row>
    <row r="141" spans="2:78" s="128" customFormat="1" ht="10.5" hidden="1" x14ac:dyDescent="0.25">
      <c r="B141" s="138">
        <v>61</v>
      </c>
      <c r="C141" s="130">
        <v>0.34</v>
      </c>
      <c r="D141" s="131"/>
      <c r="E141" s="131"/>
      <c r="F141" s="131"/>
      <c r="G141" s="131"/>
      <c r="H141" s="131"/>
      <c r="I141" s="131"/>
      <c r="J141" s="131"/>
      <c r="K141" s="131"/>
      <c r="L141" s="131"/>
      <c r="M141" s="131">
        <v>75</v>
      </c>
      <c r="N141" s="131">
        <v>52</v>
      </c>
      <c r="O141" s="131">
        <v>36</v>
      </c>
      <c r="P141" s="131">
        <v>26</v>
      </c>
      <c r="Q141" s="131">
        <v>19</v>
      </c>
      <c r="R141" s="131">
        <v>14</v>
      </c>
      <c r="S141" s="131">
        <v>11</v>
      </c>
      <c r="T141" s="131">
        <v>8</v>
      </c>
      <c r="U141" s="131">
        <v>4.25</v>
      </c>
      <c r="V141" s="131">
        <v>2.6</v>
      </c>
      <c r="W141" s="131">
        <v>1.65</v>
      </c>
      <c r="X141" s="131">
        <v>1</v>
      </c>
      <c r="Y141" s="131">
        <v>0.7</v>
      </c>
      <c r="Z141" s="131">
        <v>0.48</v>
      </c>
      <c r="AA141" s="131">
        <v>0.34</v>
      </c>
      <c r="AB141" s="131">
        <v>0.25</v>
      </c>
      <c r="AC141" s="131">
        <v>0.18</v>
      </c>
      <c r="AD141" s="131">
        <v>0.14000000000000001</v>
      </c>
      <c r="AE141" s="131">
        <v>0.1</v>
      </c>
      <c r="AF141" s="131"/>
      <c r="AG141" s="131"/>
      <c r="AH141" s="131"/>
      <c r="AI141" s="131"/>
      <c r="AJ141" s="131"/>
      <c r="AK141" s="131"/>
      <c r="AL141" s="131"/>
      <c r="AM141" s="131"/>
      <c r="AN141" s="131"/>
      <c r="AO141" s="131"/>
      <c r="AP141" s="131"/>
      <c r="AQ141" s="131"/>
      <c r="AR141" s="131"/>
      <c r="AS141" s="131"/>
      <c r="AT141" s="131"/>
      <c r="AU141" s="131"/>
      <c r="AV141" s="131"/>
      <c r="AW141" s="131"/>
      <c r="AX141" s="131"/>
      <c r="AY141" s="131"/>
      <c r="AZ141" s="131"/>
      <c r="BA141" s="131"/>
      <c r="BB141" s="131"/>
      <c r="BC141" s="131"/>
      <c r="BD141" s="131"/>
      <c r="BE141" s="131"/>
      <c r="BF141" s="131"/>
      <c r="BG141" s="131"/>
      <c r="BH141" s="131"/>
      <c r="BI141" s="131"/>
      <c r="BJ141" s="131"/>
      <c r="BK141" s="131"/>
      <c r="BL141" s="131"/>
      <c r="BM141" s="131"/>
      <c r="BN141" s="131"/>
      <c r="BO141" s="131"/>
      <c r="BP141" s="131"/>
      <c r="BQ141" s="131"/>
      <c r="BR141" s="131"/>
      <c r="BS141" s="131"/>
      <c r="BT141" s="131"/>
      <c r="BU141" s="131"/>
      <c r="BV141" s="131"/>
      <c r="BW141" s="131"/>
      <c r="BX141" s="131"/>
      <c r="BY141" s="131"/>
      <c r="BZ141" s="131"/>
    </row>
    <row r="142" spans="2:78" s="128" customFormat="1" ht="10.5" hidden="1" x14ac:dyDescent="0.25">
      <c r="B142" s="138">
        <v>62</v>
      </c>
      <c r="C142" s="130">
        <v>0.36</v>
      </c>
      <c r="D142" s="131"/>
      <c r="E142" s="131"/>
      <c r="F142" s="131"/>
      <c r="G142" s="131"/>
      <c r="H142" s="131"/>
      <c r="I142" s="131"/>
      <c r="J142" s="131"/>
      <c r="K142" s="131"/>
      <c r="L142" s="131"/>
      <c r="M142" s="131">
        <v>80</v>
      </c>
      <c r="N142" s="131">
        <v>57</v>
      </c>
      <c r="O142" s="131">
        <v>40</v>
      </c>
      <c r="P142" s="131">
        <v>29</v>
      </c>
      <c r="Q142" s="131">
        <v>21</v>
      </c>
      <c r="R142" s="131">
        <v>15.5</v>
      </c>
      <c r="S142" s="131">
        <v>12.5</v>
      </c>
      <c r="T142" s="131">
        <v>9</v>
      </c>
      <c r="U142" s="131">
        <v>4.75</v>
      </c>
      <c r="V142" s="131">
        <v>2.9</v>
      </c>
      <c r="W142" s="131">
        <v>1.8</v>
      </c>
      <c r="X142" s="131">
        <v>1.1000000000000001</v>
      </c>
      <c r="Y142" s="131">
        <v>0.8</v>
      </c>
      <c r="Z142" s="131">
        <v>0.55000000000000004</v>
      </c>
      <c r="AA142" s="131">
        <v>0.38</v>
      </c>
      <c r="AB142" s="131">
        <v>0.28000000000000003</v>
      </c>
      <c r="AC142" s="131">
        <v>0.2</v>
      </c>
      <c r="AD142" s="131">
        <v>0.15</v>
      </c>
      <c r="AE142" s="131">
        <v>0.11</v>
      </c>
      <c r="AF142" s="131"/>
      <c r="AG142" s="131"/>
      <c r="AH142" s="131"/>
      <c r="AI142" s="131"/>
      <c r="AJ142" s="131"/>
      <c r="AK142" s="131"/>
      <c r="AL142" s="131"/>
      <c r="AM142" s="131"/>
      <c r="AN142" s="131"/>
      <c r="AO142" s="131"/>
      <c r="AP142" s="131"/>
      <c r="AQ142" s="131"/>
      <c r="AR142" s="131"/>
      <c r="AS142" s="131"/>
      <c r="AT142" s="131"/>
      <c r="AU142" s="131"/>
      <c r="AV142" s="131"/>
      <c r="AW142" s="131"/>
      <c r="AX142" s="131"/>
      <c r="AY142" s="131"/>
      <c r="AZ142" s="131"/>
      <c r="BA142" s="131"/>
      <c r="BB142" s="131"/>
      <c r="BC142" s="131"/>
      <c r="BD142" s="131"/>
      <c r="BE142" s="131"/>
      <c r="BF142" s="131"/>
      <c r="BG142" s="131"/>
      <c r="BH142" s="131"/>
      <c r="BI142" s="131"/>
      <c r="BJ142" s="131"/>
      <c r="BK142" s="131"/>
      <c r="BL142" s="131"/>
      <c r="BM142" s="131"/>
      <c r="BN142" s="131"/>
      <c r="BO142" s="131"/>
      <c r="BP142" s="131"/>
      <c r="BQ142" s="131"/>
      <c r="BR142" s="131"/>
      <c r="BS142" s="131"/>
      <c r="BT142" s="131"/>
      <c r="BU142" s="131"/>
      <c r="BV142" s="131"/>
      <c r="BW142" s="131"/>
      <c r="BX142" s="131"/>
      <c r="BY142" s="131"/>
      <c r="BZ142" s="131"/>
    </row>
    <row r="143" spans="2:78" s="128" customFormat="1" ht="10.5" hidden="1" x14ac:dyDescent="0.25">
      <c r="B143" s="138">
        <v>63</v>
      </c>
      <c r="C143" s="130">
        <v>0.38</v>
      </c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>
        <v>64</v>
      </c>
      <c r="O143" s="131">
        <v>45</v>
      </c>
      <c r="P143" s="131">
        <v>32</v>
      </c>
      <c r="Q143" s="131">
        <v>24</v>
      </c>
      <c r="R143" s="131">
        <v>18</v>
      </c>
      <c r="S143" s="131">
        <v>14</v>
      </c>
      <c r="T143" s="131">
        <v>10</v>
      </c>
      <c r="U143" s="131">
        <v>5.3</v>
      </c>
      <c r="V143" s="131">
        <v>3.2</v>
      </c>
      <c r="W143" s="131">
        <v>2</v>
      </c>
      <c r="X143" s="131">
        <v>1.25</v>
      </c>
      <c r="Y143" s="131">
        <v>0.9</v>
      </c>
      <c r="Z143" s="131">
        <v>0.6</v>
      </c>
      <c r="AA143" s="131">
        <v>0.4</v>
      </c>
      <c r="AB143" s="131">
        <v>0.32</v>
      </c>
      <c r="AC143" s="131">
        <v>0.22</v>
      </c>
      <c r="AD143" s="131">
        <v>0.17</v>
      </c>
      <c r="AE143" s="131">
        <v>0.125</v>
      </c>
      <c r="AF143" s="131">
        <v>0.1</v>
      </c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1"/>
      <c r="AT143" s="131"/>
      <c r="AU143" s="131"/>
      <c r="AV143" s="131"/>
      <c r="AW143" s="131"/>
      <c r="AX143" s="131"/>
      <c r="AY143" s="131"/>
      <c r="AZ143" s="131"/>
      <c r="BA143" s="131"/>
      <c r="BB143" s="131"/>
      <c r="BC143" s="131"/>
      <c r="BD143" s="131"/>
      <c r="BE143" s="131"/>
      <c r="BF143" s="131"/>
      <c r="BG143" s="131"/>
      <c r="BH143" s="131"/>
      <c r="BI143" s="131"/>
      <c r="BJ143" s="131"/>
      <c r="BK143" s="131"/>
      <c r="BL143" s="131"/>
      <c r="BM143" s="131"/>
      <c r="BN143" s="131"/>
      <c r="BO143" s="131"/>
      <c r="BP143" s="131"/>
      <c r="BQ143" s="131"/>
      <c r="BR143" s="131"/>
      <c r="BS143" s="131"/>
      <c r="BT143" s="131"/>
      <c r="BU143" s="131"/>
      <c r="BV143" s="131"/>
      <c r="BW143" s="131"/>
      <c r="BX143" s="131"/>
      <c r="BY143" s="131"/>
      <c r="BZ143" s="131"/>
    </row>
    <row r="144" spans="2:78" s="128" customFormat="1" ht="10.5" hidden="1" x14ac:dyDescent="0.25">
      <c r="B144" s="138">
        <v>64</v>
      </c>
      <c r="C144" s="130">
        <v>0.4</v>
      </c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>
        <v>70</v>
      </c>
      <c r="O144" s="131">
        <v>50</v>
      </c>
      <c r="P144" s="131">
        <v>35</v>
      </c>
      <c r="Q144" s="131">
        <v>26</v>
      </c>
      <c r="R144" s="131">
        <v>19</v>
      </c>
      <c r="S144" s="131">
        <v>15</v>
      </c>
      <c r="T144" s="131">
        <v>11</v>
      </c>
      <c r="U144" s="131">
        <v>6</v>
      </c>
      <c r="V144" s="131">
        <v>3.6</v>
      </c>
      <c r="W144" s="131">
        <v>2.2000000000000002</v>
      </c>
      <c r="X144" s="131">
        <v>1.4</v>
      </c>
      <c r="Y144" s="131">
        <v>1</v>
      </c>
      <c r="Z144" s="131">
        <v>0.65</v>
      </c>
      <c r="AA144" s="131">
        <v>0.45</v>
      </c>
      <c r="AB144" s="131">
        <v>0.35</v>
      </c>
      <c r="AC144" s="131">
        <v>0.24</v>
      </c>
      <c r="AD144" s="131">
        <v>0.18</v>
      </c>
      <c r="AE144" s="131">
        <v>0.14000000000000001</v>
      </c>
      <c r="AF144" s="131">
        <v>0.11</v>
      </c>
      <c r="AG144" s="131"/>
      <c r="AH144" s="131"/>
      <c r="AI144" s="131"/>
      <c r="AJ144" s="131"/>
      <c r="AK144" s="131"/>
      <c r="AL144" s="131"/>
      <c r="AM144" s="131"/>
      <c r="AN144" s="131"/>
      <c r="AO144" s="131"/>
      <c r="AP144" s="131"/>
      <c r="AQ144" s="131"/>
      <c r="AR144" s="131"/>
      <c r="AS144" s="131"/>
      <c r="AT144" s="131"/>
      <c r="AU144" s="131"/>
      <c r="AV144" s="131"/>
      <c r="AW144" s="131"/>
      <c r="AX144" s="131"/>
      <c r="AY144" s="131"/>
      <c r="AZ144" s="131"/>
      <c r="BA144" s="131"/>
      <c r="BB144" s="131"/>
      <c r="BC144" s="131"/>
      <c r="BD144" s="131"/>
      <c r="BE144" s="131"/>
      <c r="BF144" s="131"/>
      <c r="BG144" s="131"/>
      <c r="BH144" s="131"/>
      <c r="BI144" s="131"/>
      <c r="BJ144" s="131"/>
      <c r="BK144" s="131"/>
      <c r="BL144" s="131"/>
      <c r="BM144" s="131"/>
      <c r="BN144" s="131"/>
      <c r="BO144" s="131"/>
      <c r="BP144" s="131"/>
      <c r="BQ144" s="131"/>
      <c r="BR144" s="131"/>
      <c r="BS144" s="131"/>
      <c r="BT144" s="131"/>
      <c r="BU144" s="131"/>
      <c r="BV144" s="131"/>
      <c r="BW144" s="131"/>
      <c r="BX144" s="131"/>
      <c r="BY144" s="131"/>
      <c r="BZ144" s="131"/>
    </row>
    <row r="145" spans="2:78" s="128" customFormat="1" ht="10.5" hidden="1" x14ac:dyDescent="0.25">
      <c r="B145" s="138">
        <v>65</v>
      </c>
      <c r="C145" s="130">
        <v>0.42</v>
      </c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>
        <v>76</v>
      </c>
      <c r="O145" s="131">
        <v>55</v>
      </c>
      <c r="P145" s="131">
        <v>39</v>
      </c>
      <c r="Q145" s="131">
        <v>28</v>
      </c>
      <c r="R145" s="131">
        <v>21</v>
      </c>
      <c r="S145" s="131">
        <v>16.5</v>
      </c>
      <c r="T145" s="131">
        <v>12</v>
      </c>
      <c r="U145" s="131">
        <v>6.5</v>
      </c>
      <c r="V145" s="131">
        <v>3.9</v>
      </c>
      <c r="W145" s="131">
        <v>2.4</v>
      </c>
      <c r="X145" s="131">
        <v>1.5</v>
      </c>
      <c r="Y145" s="131">
        <v>1.05</v>
      </c>
      <c r="Z145" s="131">
        <v>0.7</v>
      </c>
      <c r="AA145" s="131">
        <v>0.48</v>
      </c>
      <c r="AB145" s="131">
        <v>0.38</v>
      </c>
      <c r="AC145" s="131">
        <v>0.26</v>
      </c>
      <c r="AD145" s="131">
        <v>0.2</v>
      </c>
      <c r="AE145" s="131">
        <v>0.15</v>
      </c>
      <c r="AF145" s="131">
        <v>0.12</v>
      </c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  <c r="BA145" s="131"/>
      <c r="BB145" s="131"/>
      <c r="BC145" s="131"/>
      <c r="BD145" s="131"/>
      <c r="BE145" s="131"/>
      <c r="BF145" s="131"/>
      <c r="BG145" s="131"/>
      <c r="BH145" s="131"/>
      <c r="BI145" s="131"/>
      <c r="BJ145" s="131"/>
      <c r="BK145" s="131"/>
      <c r="BL145" s="131"/>
      <c r="BM145" s="131"/>
      <c r="BN145" s="131"/>
      <c r="BO145" s="131"/>
      <c r="BP145" s="131"/>
      <c r="BQ145" s="131"/>
      <c r="BR145" s="131"/>
      <c r="BS145" s="131"/>
      <c r="BT145" s="131"/>
      <c r="BU145" s="131"/>
      <c r="BV145" s="131"/>
      <c r="BW145" s="131"/>
      <c r="BX145" s="131"/>
      <c r="BY145" s="131"/>
      <c r="BZ145" s="131"/>
    </row>
    <row r="146" spans="2:78" s="128" customFormat="1" ht="10.5" hidden="1" x14ac:dyDescent="0.25">
      <c r="B146" s="138">
        <v>66</v>
      </c>
      <c r="C146" s="130">
        <v>0.44</v>
      </c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>
        <v>82</v>
      </c>
      <c r="O146" s="131">
        <v>60</v>
      </c>
      <c r="P146" s="131">
        <v>43</v>
      </c>
      <c r="Q146" s="131">
        <v>31</v>
      </c>
      <c r="R146" s="131">
        <v>23</v>
      </c>
      <c r="S146" s="131">
        <v>18.5</v>
      </c>
      <c r="T146" s="131">
        <v>13</v>
      </c>
      <c r="U146" s="131">
        <v>7</v>
      </c>
      <c r="V146" s="131">
        <v>4.25</v>
      </c>
      <c r="W146" s="131">
        <v>2.6</v>
      </c>
      <c r="X146" s="131">
        <v>1.65</v>
      </c>
      <c r="Y146" s="131">
        <v>1.2</v>
      </c>
      <c r="Z146" s="131">
        <v>0.8</v>
      </c>
      <c r="AA146" s="131">
        <v>0.55000000000000004</v>
      </c>
      <c r="AB146" s="131">
        <v>0.42499999999999999</v>
      </c>
      <c r="AC146" s="131">
        <v>0.3</v>
      </c>
      <c r="AD146" s="131">
        <v>2.2000000000000002</v>
      </c>
      <c r="AE146" s="131">
        <v>0.16500000000000001</v>
      </c>
      <c r="AF146" s="131">
        <v>0.13</v>
      </c>
      <c r="AG146" s="131"/>
      <c r="AH146" s="131"/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  <c r="AU146" s="131"/>
      <c r="AV146" s="131"/>
      <c r="AW146" s="131"/>
      <c r="AX146" s="131"/>
      <c r="AY146" s="131"/>
      <c r="AZ146" s="131"/>
      <c r="BA146" s="131"/>
      <c r="BB146" s="131"/>
      <c r="BC146" s="131"/>
      <c r="BD146" s="131"/>
      <c r="BE146" s="131"/>
      <c r="BF146" s="131"/>
      <c r="BG146" s="131"/>
      <c r="BH146" s="131"/>
      <c r="BI146" s="131"/>
      <c r="BJ146" s="131"/>
      <c r="BK146" s="131"/>
      <c r="BL146" s="131"/>
      <c r="BM146" s="131"/>
      <c r="BN146" s="131"/>
      <c r="BO146" s="131"/>
      <c r="BP146" s="131"/>
      <c r="BQ146" s="131"/>
      <c r="BR146" s="131"/>
      <c r="BS146" s="131"/>
      <c r="BT146" s="131"/>
      <c r="BU146" s="131"/>
      <c r="BV146" s="131"/>
      <c r="BW146" s="131"/>
      <c r="BX146" s="131"/>
      <c r="BY146" s="131"/>
      <c r="BZ146" s="131"/>
    </row>
    <row r="147" spans="2:78" s="128" customFormat="1" ht="10.5" hidden="1" x14ac:dyDescent="0.25">
      <c r="B147" s="138">
        <v>67</v>
      </c>
      <c r="C147" s="130">
        <v>0.46</v>
      </c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>
        <v>65</v>
      </c>
      <c r="P147" s="131">
        <v>46</v>
      </c>
      <c r="Q147" s="131">
        <v>34</v>
      </c>
      <c r="R147" s="131">
        <v>25</v>
      </c>
      <c r="S147" s="131">
        <v>20</v>
      </c>
      <c r="T147" s="131">
        <v>14</v>
      </c>
      <c r="U147" s="131">
        <v>7.5</v>
      </c>
      <c r="V147" s="131">
        <v>4.5</v>
      </c>
      <c r="W147" s="131">
        <v>2.95</v>
      </c>
      <c r="X147" s="131">
        <v>1.8</v>
      </c>
      <c r="Y147" s="131">
        <v>1.3</v>
      </c>
      <c r="Z147" s="131">
        <v>0.85</v>
      </c>
      <c r="AA147" s="131">
        <v>0.6</v>
      </c>
      <c r="AB147" s="131">
        <v>0.45</v>
      </c>
      <c r="AC147" s="131">
        <v>0.32</v>
      </c>
      <c r="AD147" s="131">
        <v>2.4</v>
      </c>
      <c r="AE147" s="131">
        <v>0.18</v>
      </c>
      <c r="AF147" s="131">
        <v>0.14000000000000001</v>
      </c>
      <c r="AG147" s="131">
        <v>0.1</v>
      </c>
      <c r="AH147" s="131"/>
      <c r="AI147" s="131"/>
      <c r="AJ147" s="131"/>
      <c r="AK147" s="131"/>
      <c r="AL147" s="131"/>
      <c r="AM147" s="131"/>
      <c r="AN147" s="131"/>
      <c r="AO147" s="131"/>
      <c r="AP147" s="131"/>
      <c r="AQ147" s="131"/>
      <c r="AR147" s="131"/>
      <c r="AS147" s="131"/>
      <c r="AT147" s="131"/>
      <c r="AU147" s="131"/>
      <c r="AV147" s="131"/>
      <c r="AW147" s="131"/>
      <c r="AX147" s="131"/>
      <c r="AY147" s="131"/>
      <c r="AZ147" s="131"/>
      <c r="BA147" s="131"/>
      <c r="BB147" s="131"/>
      <c r="BC147" s="131"/>
      <c r="BD147" s="131"/>
      <c r="BE147" s="131"/>
      <c r="BF147" s="131"/>
      <c r="BG147" s="131"/>
      <c r="BH147" s="131"/>
      <c r="BI147" s="131"/>
      <c r="BJ147" s="131"/>
      <c r="BK147" s="131"/>
      <c r="BL147" s="131"/>
      <c r="BM147" s="131"/>
      <c r="BN147" s="131"/>
      <c r="BO147" s="131"/>
      <c r="BP147" s="131"/>
      <c r="BQ147" s="131"/>
      <c r="BR147" s="131"/>
      <c r="BS147" s="131"/>
      <c r="BT147" s="131"/>
      <c r="BU147" s="131"/>
      <c r="BV147" s="131"/>
      <c r="BW147" s="131"/>
      <c r="BX147" s="131"/>
      <c r="BY147" s="131"/>
      <c r="BZ147" s="131"/>
    </row>
    <row r="148" spans="2:78" s="128" customFormat="1" ht="10.5" hidden="1" x14ac:dyDescent="0.25">
      <c r="B148" s="138">
        <v>68</v>
      </c>
      <c r="C148" s="130">
        <v>0.48</v>
      </c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>
        <v>70</v>
      </c>
      <c r="P148" s="131">
        <v>50</v>
      </c>
      <c r="Q148" s="131">
        <v>36</v>
      </c>
      <c r="R148" s="131">
        <v>28</v>
      </c>
      <c r="S148" s="131">
        <v>22</v>
      </c>
      <c r="T148" s="131">
        <v>15.5</v>
      </c>
      <c r="U148" s="131">
        <v>8.5</v>
      </c>
      <c r="V148" s="131">
        <v>5</v>
      </c>
      <c r="W148" s="131">
        <v>3.1</v>
      </c>
      <c r="X148" s="131">
        <v>1.95</v>
      </c>
      <c r="Y148" s="131">
        <v>1.4</v>
      </c>
      <c r="Z148" s="131">
        <v>0.9</v>
      </c>
      <c r="AA148" s="131">
        <v>0.65</v>
      </c>
      <c r="AB148" s="131">
        <v>0.5</v>
      </c>
      <c r="AC148" s="131">
        <v>0.35</v>
      </c>
      <c r="AD148" s="131">
        <v>2.6</v>
      </c>
      <c r="AE148" s="131">
        <v>0.2</v>
      </c>
      <c r="AF148" s="131">
        <v>0.15</v>
      </c>
      <c r="AG148" s="131">
        <v>0.11</v>
      </c>
      <c r="AH148" s="131"/>
      <c r="AI148" s="131"/>
      <c r="AJ148" s="131"/>
      <c r="AK148" s="131"/>
      <c r="AL148" s="131"/>
      <c r="AM148" s="131"/>
      <c r="AN148" s="131"/>
      <c r="AO148" s="131"/>
      <c r="AP148" s="131"/>
      <c r="AQ148" s="131"/>
      <c r="AR148" s="131"/>
      <c r="AS148" s="131"/>
      <c r="AT148" s="131"/>
      <c r="AU148" s="131"/>
      <c r="AV148" s="131"/>
      <c r="AW148" s="131"/>
      <c r="AX148" s="131"/>
      <c r="AY148" s="131"/>
      <c r="AZ148" s="131"/>
      <c r="BA148" s="131"/>
      <c r="BB148" s="131"/>
      <c r="BC148" s="131"/>
      <c r="BD148" s="131"/>
      <c r="BE148" s="131"/>
      <c r="BF148" s="131"/>
      <c r="BG148" s="131"/>
      <c r="BH148" s="131"/>
      <c r="BI148" s="131"/>
      <c r="BJ148" s="131"/>
      <c r="BK148" s="131"/>
      <c r="BL148" s="131"/>
      <c r="BM148" s="131"/>
      <c r="BN148" s="131"/>
      <c r="BO148" s="131"/>
      <c r="BP148" s="131"/>
      <c r="BQ148" s="131"/>
      <c r="BR148" s="131"/>
      <c r="BS148" s="131"/>
      <c r="BT148" s="131"/>
      <c r="BU148" s="131"/>
      <c r="BV148" s="131"/>
      <c r="BW148" s="131"/>
      <c r="BX148" s="131"/>
      <c r="BY148" s="131"/>
      <c r="BZ148" s="131"/>
    </row>
    <row r="149" spans="2:78" s="128" customFormat="1" ht="10.5" hidden="1" x14ac:dyDescent="0.25">
      <c r="B149" s="138">
        <v>69</v>
      </c>
      <c r="C149" s="130">
        <v>0.5</v>
      </c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>
        <v>75</v>
      </c>
      <c r="P149" s="131">
        <v>54</v>
      </c>
      <c r="Q149" s="131">
        <v>40</v>
      </c>
      <c r="R149" s="131">
        <v>30</v>
      </c>
      <c r="S149" s="131">
        <v>23</v>
      </c>
      <c r="T149" s="131">
        <v>16.5</v>
      </c>
      <c r="U149" s="131">
        <v>9</v>
      </c>
      <c r="V149" s="131">
        <v>5.25</v>
      </c>
      <c r="W149" s="131">
        <v>3.4</v>
      </c>
      <c r="X149" s="131">
        <v>2.1</v>
      </c>
      <c r="Y149" s="131">
        <v>1.5</v>
      </c>
      <c r="Z149" s="131">
        <v>1</v>
      </c>
      <c r="AA149" s="131">
        <v>0.7</v>
      </c>
      <c r="AB149" s="131">
        <v>0.55000000000000004</v>
      </c>
      <c r="AC149" s="131">
        <v>0.38</v>
      </c>
      <c r="AD149" s="131">
        <v>2.8</v>
      </c>
      <c r="AE149" s="131">
        <v>0.21</v>
      </c>
      <c r="AF149" s="131">
        <v>0.16500000000000001</v>
      </c>
      <c r="AG149" s="131">
        <v>0.12</v>
      </c>
      <c r="AH149" s="131">
        <v>0.1</v>
      </c>
      <c r="AI149" s="131"/>
      <c r="AJ149" s="131"/>
      <c r="AK149" s="131"/>
      <c r="AL149" s="131"/>
      <c r="AM149" s="131"/>
      <c r="AN149" s="131"/>
      <c r="AO149" s="131"/>
      <c r="AP149" s="131"/>
      <c r="AQ149" s="131"/>
      <c r="AR149" s="131"/>
      <c r="AS149" s="131"/>
      <c r="AT149" s="131"/>
      <c r="AU149" s="131"/>
      <c r="AV149" s="131"/>
      <c r="AW149" s="131"/>
      <c r="AX149" s="131"/>
      <c r="AY149" s="131"/>
      <c r="AZ149" s="131"/>
      <c r="BA149" s="131"/>
      <c r="BB149" s="131"/>
      <c r="BC149" s="131"/>
      <c r="BD149" s="131"/>
      <c r="BE149" s="131"/>
      <c r="BF149" s="131"/>
      <c r="BG149" s="131"/>
      <c r="BH149" s="131"/>
      <c r="BI149" s="131"/>
      <c r="BJ149" s="131"/>
      <c r="BK149" s="131"/>
      <c r="BL149" s="131"/>
      <c r="BM149" s="131"/>
      <c r="BN149" s="131"/>
      <c r="BO149" s="131"/>
      <c r="BP149" s="131"/>
      <c r="BQ149" s="131"/>
      <c r="BR149" s="131"/>
      <c r="BS149" s="131"/>
      <c r="BT149" s="131"/>
      <c r="BU149" s="131"/>
      <c r="BV149" s="131"/>
      <c r="BW149" s="131"/>
      <c r="BX149" s="131"/>
      <c r="BY149" s="131"/>
      <c r="BZ149" s="131"/>
    </row>
    <row r="150" spans="2:78" s="128" customFormat="1" ht="10.5" hidden="1" x14ac:dyDescent="0.25">
      <c r="B150" s="138">
        <v>70</v>
      </c>
      <c r="C150" s="130">
        <v>0.52</v>
      </c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>
        <v>80</v>
      </c>
      <c r="P150" s="131">
        <v>58</v>
      </c>
      <c r="Q150" s="131">
        <v>42.5</v>
      </c>
      <c r="R150" s="131">
        <v>31</v>
      </c>
      <c r="S150" s="131">
        <v>25</v>
      </c>
      <c r="T150" s="131">
        <v>18</v>
      </c>
      <c r="U150" s="131">
        <v>9.75</v>
      </c>
      <c r="V150" s="131">
        <v>5.75</v>
      </c>
      <c r="W150" s="131">
        <v>3.6</v>
      </c>
      <c r="X150" s="131">
        <v>2.2999999999999998</v>
      </c>
      <c r="Y150" s="131">
        <v>1.6</v>
      </c>
      <c r="Z150" s="131">
        <v>1.1000000000000001</v>
      </c>
      <c r="AA150" s="131">
        <v>0.75</v>
      </c>
      <c r="AB150" s="131">
        <v>0.6</v>
      </c>
      <c r="AC150" s="131">
        <v>0.42</v>
      </c>
      <c r="AD150" s="131">
        <v>0.3</v>
      </c>
      <c r="AE150" s="131">
        <v>0.23</v>
      </c>
      <c r="AF150" s="131">
        <v>0.17499999999999999</v>
      </c>
      <c r="AG150" s="131">
        <v>0.13</v>
      </c>
      <c r="AH150" s="131">
        <v>0.105</v>
      </c>
      <c r="AI150" s="131"/>
      <c r="AJ150" s="131"/>
      <c r="AK150" s="131"/>
      <c r="AL150" s="131"/>
      <c r="AM150" s="131"/>
      <c r="AN150" s="131"/>
      <c r="AO150" s="131"/>
      <c r="AP150" s="131"/>
      <c r="AQ150" s="131"/>
      <c r="AR150" s="131"/>
      <c r="AS150" s="131"/>
      <c r="AT150" s="131"/>
      <c r="AU150" s="131"/>
      <c r="AV150" s="131"/>
      <c r="AW150" s="131"/>
      <c r="AX150" s="131"/>
      <c r="AY150" s="131"/>
      <c r="AZ150" s="131"/>
      <c r="BA150" s="131"/>
      <c r="BB150" s="131"/>
      <c r="BC150" s="131"/>
      <c r="BD150" s="131"/>
      <c r="BE150" s="131"/>
      <c r="BF150" s="131"/>
      <c r="BG150" s="131"/>
      <c r="BH150" s="131"/>
      <c r="BI150" s="131"/>
      <c r="BJ150" s="131"/>
      <c r="BK150" s="131"/>
      <c r="BL150" s="131"/>
      <c r="BM150" s="131"/>
      <c r="BN150" s="131"/>
      <c r="BO150" s="131"/>
      <c r="BP150" s="131"/>
      <c r="BQ150" s="131"/>
      <c r="BR150" s="131"/>
      <c r="BS150" s="131"/>
      <c r="BT150" s="131"/>
      <c r="BU150" s="131"/>
      <c r="BV150" s="131"/>
      <c r="BW150" s="131"/>
      <c r="BX150" s="131"/>
      <c r="BY150" s="131"/>
      <c r="BZ150" s="131"/>
    </row>
    <row r="151" spans="2:78" s="128" customFormat="1" ht="10.5" hidden="1" x14ac:dyDescent="0.25">
      <c r="B151" s="138">
        <v>71</v>
      </c>
      <c r="C151" s="130">
        <v>0.54</v>
      </c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>
        <v>62</v>
      </c>
      <c r="Q151" s="131">
        <v>46</v>
      </c>
      <c r="R151" s="131">
        <v>34</v>
      </c>
      <c r="S151" s="131">
        <v>27</v>
      </c>
      <c r="T151" s="131">
        <v>19.5</v>
      </c>
      <c r="U151" s="131">
        <v>10.5</v>
      </c>
      <c r="V151" s="131">
        <v>6.25</v>
      </c>
      <c r="W151" s="131">
        <v>4</v>
      </c>
      <c r="X151" s="131">
        <v>2.4</v>
      </c>
      <c r="Y151" s="131">
        <v>1.7</v>
      </c>
      <c r="Z151" s="131">
        <v>1.2</v>
      </c>
      <c r="AA151" s="131">
        <v>0.8</v>
      </c>
      <c r="AB151" s="131">
        <v>0.65</v>
      </c>
      <c r="AC151" s="131">
        <v>0.45</v>
      </c>
      <c r="AD151" s="131">
        <v>0.33</v>
      </c>
      <c r="AE151" s="131">
        <v>0.25</v>
      </c>
      <c r="AF151" s="131">
        <v>0.18</v>
      </c>
      <c r="AG151" s="131">
        <v>0.14000000000000001</v>
      </c>
      <c r="AH151" s="131">
        <v>0.115</v>
      </c>
      <c r="AI151" s="131">
        <v>0.1</v>
      </c>
      <c r="AJ151" s="131"/>
      <c r="AK151" s="131"/>
      <c r="AL151" s="131"/>
      <c r="AM151" s="131"/>
      <c r="AN151" s="131"/>
      <c r="AO151" s="131"/>
      <c r="AP151" s="131"/>
      <c r="AQ151" s="131"/>
      <c r="AR151" s="131"/>
      <c r="AS151" s="131"/>
      <c r="AT151" s="131"/>
      <c r="AU151" s="131"/>
      <c r="AV151" s="131"/>
      <c r="AW151" s="131"/>
      <c r="AX151" s="131"/>
      <c r="AY151" s="131"/>
      <c r="AZ151" s="131"/>
      <c r="BA151" s="131"/>
      <c r="BB151" s="131"/>
      <c r="BC151" s="131"/>
      <c r="BD151" s="131"/>
      <c r="BE151" s="131"/>
      <c r="BF151" s="131"/>
      <c r="BG151" s="131"/>
      <c r="BH151" s="131"/>
      <c r="BI151" s="131"/>
      <c r="BJ151" s="131"/>
      <c r="BK151" s="131"/>
      <c r="BL151" s="131"/>
      <c r="BM151" s="131"/>
      <c r="BN151" s="131"/>
      <c r="BO151" s="131"/>
      <c r="BP151" s="131"/>
      <c r="BQ151" s="131"/>
      <c r="BR151" s="131"/>
      <c r="BS151" s="131"/>
      <c r="BT151" s="131"/>
      <c r="BU151" s="131"/>
      <c r="BV151" s="131"/>
      <c r="BW151" s="131"/>
      <c r="BX151" s="131"/>
      <c r="BY151" s="131"/>
      <c r="BZ151" s="131"/>
    </row>
    <row r="152" spans="2:78" s="128" customFormat="1" ht="10.5" hidden="1" x14ac:dyDescent="0.25">
      <c r="B152" s="138">
        <v>72</v>
      </c>
      <c r="C152" s="130">
        <v>0.56000000000000005</v>
      </c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>
        <v>66</v>
      </c>
      <c r="Q152" s="131">
        <v>50</v>
      </c>
      <c r="R152" s="131">
        <v>36</v>
      </c>
      <c r="S152" s="131">
        <v>29</v>
      </c>
      <c r="T152" s="131">
        <v>21</v>
      </c>
      <c r="U152" s="131">
        <v>11</v>
      </c>
      <c r="V152" s="131">
        <v>6.5</v>
      </c>
      <c r="W152" s="131">
        <v>4.25</v>
      </c>
      <c r="X152" s="131">
        <v>2.6</v>
      </c>
      <c r="Y152" s="131">
        <v>1.8</v>
      </c>
      <c r="Z152" s="131">
        <v>1.3</v>
      </c>
      <c r="AA152" s="131">
        <v>0.9</v>
      </c>
      <c r="AB152" s="131">
        <v>0.7</v>
      </c>
      <c r="AC152" s="131">
        <v>0.47499999999999998</v>
      </c>
      <c r="AD152" s="131">
        <v>0.35</v>
      </c>
      <c r="AE152" s="131">
        <v>0.26500000000000001</v>
      </c>
      <c r="AF152" s="131">
        <v>0.2</v>
      </c>
      <c r="AG152" s="131">
        <v>0.15</v>
      </c>
      <c r="AH152" s="131">
        <v>0.125</v>
      </c>
      <c r="AI152" s="131">
        <v>0.105</v>
      </c>
      <c r="AJ152" s="131"/>
      <c r="AK152" s="131"/>
      <c r="AL152" s="131"/>
      <c r="AM152" s="131"/>
      <c r="AN152" s="131"/>
      <c r="AO152" s="131"/>
      <c r="AP152" s="131"/>
      <c r="AQ152" s="131"/>
      <c r="AR152" s="131"/>
      <c r="AS152" s="131"/>
      <c r="AT152" s="131"/>
      <c r="AU152" s="131"/>
      <c r="AV152" s="131"/>
      <c r="AW152" s="131"/>
      <c r="AX152" s="131"/>
      <c r="AY152" s="131"/>
      <c r="AZ152" s="131"/>
      <c r="BA152" s="131"/>
      <c r="BB152" s="131"/>
      <c r="BC152" s="131"/>
      <c r="BD152" s="131"/>
      <c r="BE152" s="131"/>
      <c r="BF152" s="131"/>
      <c r="BG152" s="131"/>
      <c r="BH152" s="131"/>
      <c r="BI152" s="131"/>
      <c r="BJ152" s="131"/>
      <c r="BK152" s="131"/>
      <c r="BL152" s="131"/>
      <c r="BM152" s="131"/>
      <c r="BN152" s="131"/>
      <c r="BO152" s="131"/>
      <c r="BP152" s="131"/>
      <c r="BQ152" s="131"/>
      <c r="BR152" s="131"/>
      <c r="BS152" s="131"/>
      <c r="BT152" s="131"/>
      <c r="BU152" s="131"/>
      <c r="BV152" s="131"/>
      <c r="BW152" s="131"/>
      <c r="BX152" s="131"/>
      <c r="BY152" s="131"/>
      <c r="BZ152" s="131"/>
    </row>
    <row r="153" spans="2:78" s="128" customFormat="1" ht="10.5" hidden="1" x14ac:dyDescent="0.25">
      <c r="B153" s="138">
        <v>73</v>
      </c>
      <c r="C153" s="130">
        <v>0.57999999999999996</v>
      </c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>
        <v>70</v>
      </c>
      <c r="Q153" s="131">
        <v>52.5</v>
      </c>
      <c r="R153" s="131">
        <v>38</v>
      </c>
      <c r="S153" s="131">
        <v>32</v>
      </c>
      <c r="T153" s="131">
        <v>22</v>
      </c>
      <c r="U153" s="131">
        <v>12</v>
      </c>
      <c r="V153" s="131">
        <v>7</v>
      </c>
      <c r="W153" s="131">
        <v>4.5</v>
      </c>
      <c r="X153" s="131">
        <v>2.8</v>
      </c>
      <c r="Y153" s="131">
        <v>2</v>
      </c>
      <c r="Z153" s="131">
        <v>1.4</v>
      </c>
      <c r="AA153" s="131">
        <v>0.95</v>
      </c>
      <c r="AB153" s="131">
        <v>0.75</v>
      </c>
      <c r="AC153" s="131">
        <v>0.5</v>
      </c>
      <c r="AD153" s="131">
        <v>0.38</v>
      </c>
      <c r="AE153" s="131">
        <v>0.28000000000000003</v>
      </c>
      <c r="AF153" s="131">
        <v>0.21</v>
      </c>
      <c r="AG153" s="131">
        <v>0.16</v>
      </c>
      <c r="AH153" s="131">
        <v>0.13500000000000001</v>
      </c>
      <c r="AI153" s="131">
        <v>0.115</v>
      </c>
      <c r="AJ153" s="131"/>
      <c r="AK153" s="131"/>
      <c r="AL153" s="131"/>
      <c r="AM153" s="131"/>
      <c r="AN153" s="131"/>
      <c r="AO153" s="131"/>
      <c r="AP153" s="131"/>
      <c r="AQ153" s="131"/>
      <c r="AR153" s="131"/>
      <c r="AS153" s="131"/>
      <c r="AT153" s="131"/>
      <c r="AU153" s="131"/>
      <c r="AV153" s="131"/>
      <c r="AW153" s="131"/>
      <c r="AX153" s="131"/>
      <c r="AY153" s="131"/>
      <c r="AZ153" s="131"/>
      <c r="BA153" s="131"/>
      <c r="BB153" s="131"/>
      <c r="BC153" s="131"/>
      <c r="BD153" s="131"/>
      <c r="BE153" s="131"/>
      <c r="BF153" s="131"/>
      <c r="BG153" s="131"/>
      <c r="BH153" s="131"/>
      <c r="BI153" s="131"/>
      <c r="BJ153" s="131"/>
      <c r="BK153" s="131"/>
      <c r="BL153" s="131"/>
      <c r="BM153" s="131"/>
      <c r="BN153" s="131"/>
      <c r="BO153" s="131"/>
      <c r="BP153" s="131"/>
      <c r="BQ153" s="131"/>
      <c r="BR153" s="131"/>
      <c r="BS153" s="131"/>
      <c r="BT153" s="131"/>
      <c r="BU153" s="131"/>
      <c r="BV153" s="131"/>
      <c r="BW153" s="131"/>
      <c r="BX153" s="131"/>
      <c r="BY153" s="131"/>
      <c r="BZ153" s="131"/>
    </row>
    <row r="154" spans="2:78" s="128" customFormat="1" ht="10.5" hidden="1" x14ac:dyDescent="0.25">
      <c r="B154" s="138">
        <v>74</v>
      </c>
      <c r="C154" s="130">
        <v>0.6</v>
      </c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>
        <v>75</v>
      </c>
      <c r="Q154" s="131">
        <v>55</v>
      </c>
      <c r="R154" s="131">
        <v>40</v>
      </c>
      <c r="S154" s="131">
        <v>33</v>
      </c>
      <c r="T154" s="131">
        <v>24</v>
      </c>
      <c r="U154" s="131">
        <v>12.5</v>
      </c>
      <c r="V154" s="131">
        <v>7.5</v>
      </c>
      <c r="W154" s="131">
        <v>4.75</v>
      </c>
      <c r="X154" s="131">
        <v>3</v>
      </c>
      <c r="Y154" s="131">
        <v>2.1</v>
      </c>
      <c r="Z154" s="131">
        <v>1.5</v>
      </c>
      <c r="AA154" s="131">
        <v>1</v>
      </c>
      <c r="AB154" s="131">
        <v>0.8</v>
      </c>
      <c r="AC154" s="131">
        <v>0.54</v>
      </c>
      <c r="AD154" s="131">
        <v>0.4</v>
      </c>
      <c r="AE154" s="131">
        <v>0.3</v>
      </c>
      <c r="AF154" s="131">
        <v>0.23</v>
      </c>
      <c r="AG154" s="131">
        <v>0.17</v>
      </c>
      <c r="AH154" s="131">
        <v>0.14000000000000001</v>
      </c>
      <c r="AI154" s="131">
        <v>0.12</v>
      </c>
      <c r="AJ154" s="131">
        <v>0.1</v>
      </c>
      <c r="AK154" s="131"/>
      <c r="AL154" s="131"/>
      <c r="AM154" s="131"/>
      <c r="AN154" s="131"/>
      <c r="AO154" s="131"/>
      <c r="AP154" s="131"/>
      <c r="AQ154" s="131"/>
      <c r="AR154" s="131"/>
      <c r="AS154" s="131"/>
      <c r="AT154" s="131"/>
      <c r="AU154" s="131"/>
      <c r="AV154" s="131"/>
      <c r="AW154" s="131"/>
      <c r="AX154" s="131"/>
      <c r="AY154" s="131"/>
      <c r="AZ154" s="131"/>
      <c r="BA154" s="131"/>
      <c r="BB154" s="131"/>
      <c r="BC154" s="131"/>
      <c r="BD154" s="131"/>
      <c r="BE154" s="131"/>
      <c r="BF154" s="131"/>
      <c r="BG154" s="131"/>
      <c r="BH154" s="131"/>
      <c r="BI154" s="131"/>
      <c r="BJ154" s="131"/>
      <c r="BK154" s="131"/>
      <c r="BL154" s="131"/>
      <c r="BM154" s="131"/>
      <c r="BN154" s="131"/>
      <c r="BO154" s="131"/>
      <c r="BP154" s="131"/>
      <c r="BQ154" s="131"/>
      <c r="BR154" s="131"/>
      <c r="BS154" s="131"/>
      <c r="BT154" s="131"/>
      <c r="BU154" s="131"/>
      <c r="BV154" s="131"/>
      <c r="BW154" s="131"/>
      <c r="BX154" s="131"/>
      <c r="BY154" s="131"/>
      <c r="BZ154" s="131"/>
    </row>
    <row r="155" spans="2:78" s="128" customFormat="1" ht="10.5" hidden="1" x14ac:dyDescent="0.25">
      <c r="B155" s="138">
        <v>75</v>
      </c>
      <c r="C155" s="130">
        <v>0.65</v>
      </c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>
        <v>65</v>
      </c>
      <c r="R155" s="131">
        <v>47</v>
      </c>
      <c r="S155" s="131">
        <v>39</v>
      </c>
      <c r="T155" s="131">
        <v>28</v>
      </c>
      <c r="U155" s="131">
        <v>15</v>
      </c>
      <c r="V155" s="131">
        <v>8.75</v>
      </c>
      <c r="W155" s="131">
        <v>5.5</v>
      </c>
      <c r="X155" s="131">
        <v>3.5</v>
      </c>
      <c r="Y155" s="131">
        <v>2.5</v>
      </c>
      <c r="Z155" s="131">
        <v>1.75</v>
      </c>
      <c r="AA155" s="131">
        <v>1.2</v>
      </c>
      <c r="AB155" s="131">
        <v>0.9</v>
      </c>
      <c r="AC155" s="131">
        <v>0.625</v>
      </c>
      <c r="AD155" s="131">
        <v>0.47</v>
      </c>
      <c r="AE155" s="131">
        <v>0.35</v>
      </c>
      <c r="AF155" s="131">
        <v>0.27</v>
      </c>
      <c r="AG155" s="131">
        <v>0.2</v>
      </c>
      <c r="AH155" s="131">
        <v>0.16</v>
      </c>
      <c r="AI155" s="131">
        <v>0.14000000000000001</v>
      </c>
      <c r="AJ155" s="131">
        <v>0.115</v>
      </c>
      <c r="AK155" s="131"/>
      <c r="AL155" s="131"/>
      <c r="AM155" s="131"/>
      <c r="AN155" s="131"/>
      <c r="AO155" s="131"/>
      <c r="AP155" s="131"/>
      <c r="AQ155" s="131"/>
      <c r="AR155" s="131"/>
      <c r="AS155" s="131"/>
      <c r="AT155" s="131"/>
      <c r="AU155" s="131"/>
      <c r="AV155" s="131"/>
      <c r="AW155" s="131"/>
      <c r="AX155" s="131"/>
      <c r="AY155" s="131"/>
      <c r="AZ155" s="131"/>
      <c r="BA155" s="131"/>
      <c r="BB155" s="131"/>
      <c r="BC155" s="131"/>
      <c r="BD155" s="131"/>
      <c r="BE155" s="131"/>
      <c r="BF155" s="131"/>
      <c r="BG155" s="131"/>
      <c r="BH155" s="131"/>
      <c r="BI155" s="131"/>
      <c r="BJ155" s="131"/>
      <c r="BK155" s="131"/>
      <c r="BL155" s="131"/>
      <c r="BM155" s="131"/>
      <c r="BN155" s="131"/>
      <c r="BO155" s="131"/>
      <c r="BP155" s="131"/>
      <c r="BQ155" s="131"/>
      <c r="BR155" s="131"/>
      <c r="BS155" s="131"/>
      <c r="BT155" s="131"/>
      <c r="BU155" s="131"/>
      <c r="BV155" s="131"/>
      <c r="BW155" s="131"/>
      <c r="BX155" s="131"/>
      <c r="BY155" s="131"/>
      <c r="BZ155" s="131"/>
    </row>
    <row r="156" spans="2:78" s="128" customFormat="1" ht="10.5" hidden="1" x14ac:dyDescent="0.25">
      <c r="B156" s="138">
        <v>76</v>
      </c>
      <c r="C156" s="130">
        <v>0.7</v>
      </c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>
        <v>75</v>
      </c>
      <c r="R156" s="131">
        <v>55</v>
      </c>
      <c r="S156" s="131">
        <v>45</v>
      </c>
      <c r="T156" s="131">
        <v>32</v>
      </c>
      <c r="U156" s="131">
        <v>17</v>
      </c>
      <c r="V156" s="131">
        <v>10</v>
      </c>
      <c r="W156" s="131">
        <v>6.5</v>
      </c>
      <c r="X156" s="131">
        <v>4</v>
      </c>
      <c r="Y156" s="131">
        <v>2.9</v>
      </c>
      <c r="Z156" s="131">
        <v>2</v>
      </c>
      <c r="AA156" s="131">
        <v>0.14000000000000001</v>
      </c>
      <c r="AB156" s="131">
        <v>1</v>
      </c>
      <c r="AC156" s="131">
        <v>0.7</v>
      </c>
      <c r="AD156" s="131">
        <v>0.53</v>
      </c>
      <c r="AE156" s="131">
        <v>0.4</v>
      </c>
      <c r="AF156" s="131">
        <v>0.3</v>
      </c>
      <c r="AG156" s="131">
        <v>0.23</v>
      </c>
      <c r="AH156" s="131">
        <v>0.19</v>
      </c>
      <c r="AI156" s="131">
        <v>0.16</v>
      </c>
      <c r="AJ156" s="131">
        <v>0.13</v>
      </c>
      <c r="AK156" s="131">
        <v>0.1</v>
      </c>
      <c r="AL156" s="131"/>
      <c r="AM156" s="131"/>
      <c r="AN156" s="131"/>
      <c r="AO156" s="131"/>
      <c r="AP156" s="131"/>
      <c r="AQ156" s="131"/>
      <c r="AR156" s="131"/>
      <c r="AS156" s="131"/>
      <c r="AT156" s="131"/>
      <c r="AU156" s="131"/>
      <c r="AV156" s="131"/>
      <c r="AW156" s="131"/>
      <c r="AX156" s="131"/>
      <c r="AY156" s="131"/>
      <c r="AZ156" s="131"/>
      <c r="BA156" s="131"/>
      <c r="BB156" s="131"/>
      <c r="BC156" s="131"/>
      <c r="BD156" s="131"/>
      <c r="BE156" s="131"/>
      <c r="BF156" s="131"/>
      <c r="BG156" s="131"/>
      <c r="BH156" s="131"/>
      <c r="BI156" s="131"/>
      <c r="BJ156" s="131"/>
      <c r="BK156" s="131"/>
      <c r="BL156" s="131"/>
      <c r="BM156" s="131"/>
      <c r="BN156" s="131"/>
      <c r="BO156" s="131"/>
      <c r="BP156" s="131"/>
      <c r="BQ156" s="131"/>
      <c r="BR156" s="131"/>
      <c r="BS156" s="131"/>
      <c r="BT156" s="131"/>
      <c r="BU156" s="131"/>
      <c r="BV156" s="131"/>
      <c r="BW156" s="131"/>
      <c r="BX156" s="131"/>
      <c r="BY156" s="131"/>
      <c r="BZ156" s="131"/>
    </row>
    <row r="157" spans="2:78" s="128" customFormat="1" ht="10.5" hidden="1" x14ac:dyDescent="0.25">
      <c r="B157" s="138">
        <v>77</v>
      </c>
      <c r="C157" s="130">
        <v>0.75</v>
      </c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>
        <v>65</v>
      </c>
      <c r="S157" s="131">
        <v>50</v>
      </c>
      <c r="T157" s="131">
        <v>37</v>
      </c>
      <c r="U157" s="131">
        <v>19</v>
      </c>
      <c r="V157" s="131">
        <v>11.5</v>
      </c>
      <c r="W157" s="131">
        <v>7.25</v>
      </c>
      <c r="X157" s="131">
        <v>4.5</v>
      </c>
      <c r="Y157" s="131">
        <v>3.2</v>
      </c>
      <c r="Z157" s="131">
        <v>2.2999999999999998</v>
      </c>
      <c r="AA157" s="131">
        <v>1.55</v>
      </c>
      <c r="AB157" s="131">
        <v>1.1499999999999999</v>
      </c>
      <c r="AC157" s="131">
        <v>0.8</v>
      </c>
      <c r="AD157" s="131">
        <v>0.62</v>
      </c>
      <c r="AE157" s="131">
        <v>0.46</v>
      </c>
      <c r="AF157" s="131">
        <v>0.35</v>
      </c>
      <c r="AG157" s="131">
        <v>0.26</v>
      </c>
      <c r="AH157" s="131">
        <v>0.21</v>
      </c>
      <c r="AI157" s="131">
        <v>0.18</v>
      </c>
      <c r="AJ157" s="131">
        <v>0.15</v>
      </c>
      <c r="AK157" s="131">
        <v>0.115</v>
      </c>
      <c r="AL157" s="131">
        <v>0.1</v>
      </c>
      <c r="AM157" s="131"/>
      <c r="AN157" s="131"/>
      <c r="AO157" s="131"/>
      <c r="AP157" s="131"/>
      <c r="AQ157" s="131"/>
      <c r="AR157" s="131"/>
      <c r="AS157" s="131"/>
      <c r="AT157" s="131"/>
      <c r="AU157" s="131"/>
      <c r="AV157" s="131"/>
      <c r="AW157" s="131"/>
      <c r="AX157" s="131"/>
      <c r="AY157" s="131"/>
      <c r="AZ157" s="131"/>
      <c r="BA157" s="131"/>
      <c r="BB157" s="131"/>
      <c r="BC157" s="131"/>
      <c r="BD157" s="131"/>
      <c r="BE157" s="131"/>
      <c r="BF157" s="131"/>
      <c r="BG157" s="131"/>
      <c r="BH157" s="131"/>
      <c r="BI157" s="131"/>
      <c r="BJ157" s="131"/>
      <c r="BK157" s="131"/>
      <c r="BL157" s="131"/>
      <c r="BM157" s="131"/>
      <c r="BN157" s="131"/>
      <c r="BO157" s="131"/>
      <c r="BP157" s="131"/>
      <c r="BQ157" s="131"/>
      <c r="BR157" s="131"/>
      <c r="BS157" s="131"/>
      <c r="BT157" s="131"/>
      <c r="BU157" s="131"/>
      <c r="BV157" s="131"/>
      <c r="BW157" s="131"/>
      <c r="BX157" s="131"/>
      <c r="BY157" s="131"/>
      <c r="BZ157" s="131"/>
    </row>
    <row r="158" spans="2:78" s="128" customFormat="1" ht="10.5" hidden="1" x14ac:dyDescent="0.25">
      <c r="B158" s="138">
        <v>78</v>
      </c>
      <c r="C158" s="130">
        <v>0.8</v>
      </c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>
        <v>70</v>
      </c>
      <c r="S158" s="131">
        <v>57</v>
      </c>
      <c r="T158" s="131">
        <v>40</v>
      </c>
      <c r="U158" s="131">
        <v>22</v>
      </c>
      <c r="V158" s="131">
        <v>13</v>
      </c>
      <c r="W158" s="131">
        <v>8</v>
      </c>
      <c r="X158" s="131">
        <v>5</v>
      </c>
      <c r="Y158" s="131">
        <v>3.7</v>
      </c>
      <c r="Z158" s="131">
        <v>2.6</v>
      </c>
      <c r="AA158" s="131">
        <v>1.8</v>
      </c>
      <c r="AB158" s="131">
        <v>1.3</v>
      </c>
      <c r="AC158" s="131">
        <v>0.9</v>
      </c>
      <c r="AD158" s="131">
        <v>0.7</v>
      </c>
      <c r="AE158" s="131">
        <v>0.52500000000000002</v>
      </c>
      <c r="AF158" s="131">
        <v>0.4</v>
      </c>
      <c r="AG158" s="131">
        <v>0.3</v>
      </c>
      <c r="AH158" s="131">
        <v>0.24</v>
      </c>
      <c r="AI158" s="131">
        <v>0.21</v>
      </c>
      <c r="AJ158" s="131">
        <v>0.17</v>
      </c>
      <c r="AK158" s="131">
        <v>0.13</v>
      </c>
      <c r="AL158" s="131">
        <v>0.11</v>
      </c>
      <c r="AM158" s="131"/>
      <c r="AN158" s="131"/>
      <c r="AO158" s="131"/>
      <c r="AP158" s="131"/>
      <c r="AQ158" s="131"/>
      <c r="AR158" s="131"/>
      <c r="AS158" s="131"/>
      <c r="AT158" s="131"/>
      <c r="AU158" s="131"/>
      <c r="AV158" s="131"/>
      <c r="AW158" s="131"/>
      <c r="AX158" s="131"/>
      <c r="AY158" s="131"/>
      <c r="AZ158" s="131"/>
      <c r="BA158" s="131"/>
      <c r="BB158" s="131"/>
      <c r="BC158" s="131"/>
      <c r="BD158" s="131"/>
      <c r="BE158" s="131"/>
      <c r="BF158" s="131"/>
      <c r="BG158" s="131"/>
      <c r="BH158" s="131"/>
      <c r="BI158" s="131"/>
      <c r="BJ158" s="131"/>
      <c r="BK158" s="131"/>
      <c r="BL158" s="131"/>
      <c r="BM158" s="131"/>
      <c r="BN158" s="131"/>
      <c r="BO158" s="131"/>
      <c r="BP158" s="131"/>
      <c r="BQ158" s="131"/>
      <c r="BR158" s="131"/>
      <c r="BS158" s="131"/>
      <c r="BT158" s="131"/>
      <c r="BU158" s="131"/>
      <c r="BV158" s="131"/>
      <c r="BW158" s="131"/>
      <c r="BX158" s="131"/>
      <c r="BY158" s="131"/>
      <c r="BZ158" s="131"/>
    </row>
    <row r="159" spans="2:78" s="128" customFormat="1" ht="10.5" hidden="1" x14ac:dyDescent="0.25">
      <c r="B159" s="138">
        <v>79</v>
      </c>
      <c r="C159" s="130">
        <v>0.85</v>
      </c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>
        <v>80</v>
      </c>
      <c r="S159" s="131">
        <v>65</v>
      </c>
      <c r="T159" s="131">
        <v>46</v>
      </c>
      <c r="U159" s="131">
        <v>25</v>
      </c>
      <c r="V159" s="131">
        <v>14.5</v>
      </c>
      <c r="W159" s="131">
        <v>9.25</v>
      </c>
      <c r="X159" s="131">
        <v>6</v>
      </c>
      <c r="Y159" s="131">
        <v>4.25</v>
      </c>
      <c r="Z159" s="131">
        <v>2.9</v>
      </c>
      <c r="AA159" s="131">
        <v>2</v>
      </c>
      <c r="AB159" s="131">
        <v>1.5</v>
      </c>
      <c r="AC159" s="131">
        <v>1</v>
      </c>
      <c r="AD159" s="131">
        <v>0.8</v>
      </c>
      <c r="AE159" s="131">
        <v>0.6</v>
      </c>
      <c r="AF159" s="131">
        <v>0.45</v>
      </c>
      <c r="AG159" s="131">
        <v>0.34</v>
      </c>
      <c r="AH159" s="131">
        <v>0.27</v>
      </c>
      <c r="AI159" s="131">
        <v>0.24</v>
      </c>
      <c r="AJ159" s="131">
        <v>0.19500000000000001</v>
      </c>
      <c r="AK159" s="131">
        <v>0.14499999999999999</v>
      </c>
      <c r="AL159" s="131">
        <v>0.125</v>
      </c>
      <c r="AM159" s="131">
        <v>0.1</v>
      </c>
      <c r="AN159" s="131"/>
      <c r="AO159" s="131"/>
      <c r="AP159" s="131"/>
      <c r="AQ159" s="131"/>
      <c r="AR159" s="131"/>
      <c r="AS159" s="131"/>
      <c r="AT159" s="131"/>
      <c r="AU159" s="131"/>
      <c r="AV159" s="131"/>
      <c r="AW159" s="131"/>
      <c r="AX159" s="131"/>
      <c r="AY159" s="131"/>
      <c r="AZ159" s="131"/>
      <c r="BA159" s="131"/>
      <c r="BB159" s="131"/>
      <c r="BC159" s="131"/>
      <c r="BD159" s="131"/>
      <c r="BE159" s="131"/>
      <c r="BF159" s="131"/>
      <c r="BG159" s="131"/>
      <c r="BH159" s="131"/>
      <c r="BI159" s="131"/>
      <c r="BJ159" s="131"/>
      <c r="BK159" s="131"/>
      <c r="BL159" s="131"/>
      <c r="BM159" s="131"/>
      <c r="BN159" s="131"/>
      <c r="BO159" s="131"/>
      <c r="BP159" s="131"/>
      <c r="BQ159" s="131"/>
      <c r="BR159" s="131"/>
      <c r="BS159" s="131"/>
      <c r="BT159" s="131"/>
      <c r="BU159" s="131"/>
      <c r="BV159" s="131"/>
      <c r="BW159" s="131"/>
      <c r="BX159" s="131"/>
      <c r="BY159" s="131"/>
      <c r="BZ159" s="131"/>
    </row>
    <row r="160" spans="2:78" s="128" customFormat="1" ht="10.5" hidden="1" x14ac:dyDescent="0.25">
      <c r="B160" s="138">
        <v>80</v>
      </c>
      <c r="C160" s="130">
        <v>0.9</v>
      </c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>
        <v>72</v>
      </c>
      <c r="T160" s="131">
        <v>50</v>
      </c>
      <c r="U160" s="131">
        <v>28</v>
      </c>
      <c r="V160" s="131">
        <v>16</v>
      </c>
      <c r="W160" s="131">
        <v>10</v>
      </c>
      <c r="X160" s="131">
        <v>6.5</v>
      </c>
      <c r="Y160" s="131">
        <v>4.5</v>
      </c>
      <c r="Z160" s="131">
        <v>3.2</v>
      </c>
      <c r="AA160" s="131">
        <v>2.2000000000000002</v>
      </c>
      <c r="AB160" s="131">
        <v>1.6</v>
      </c>
      <c r="AC160" s="131">
        <v>1.1000000000000001</v>
      </c>
      <c r="AD160" s="131">
        <v>0.9</v>
      </c>
      <c r="AE160" s="131">
        <v>0.65</v>
      </c>
      <c r="AF160" s="131">
        <v>0.5</v>
      </c>
      <c r="AG160" s="131">
        <v>0.37</v>
      </c>
      <c r="AH160" s="131">
        <v>0.3</v>
      </c>
      <c r="AI160" s="131">
        <v>0.26</v>
      </c>
      <c r="AJ160" s="131">
        <v>0.2175</v>
      </c>
      <c r="AK160" s="131">
        <v>0.16</v>
      </c>
      <c r="AL160" s="131">
        <v>0.14000000000000001</v>
      </c>
      <c r="AM160" s="131">
        <v>0.11</v>
      </c>
      <c r="AN160" s="131"/>
      <c r="AO160" s="131"/>
      <c r="AP160" s="131"/>
      <c r="AQ160" s="131"/>
      <c r="AR160" s="131"/>
      <c r="AS160" s="131"/>
      <c r="AT160" s="131"/>
      <c r="AU160" s="131"/>
      <c r="AV160" s="131"/>
      <c r="AW160" s="131"/>
      <c r="AX160" s="131"/>
      <c r="AY160" s="131"/>
      <c r="AZ160" s="131"/>
      <c r="BA160" s="131"/>
      <c r="BB160" s="131"/>
      <c r="BC160" s="131"/>
      <c r="BD160" s="131"/>
      <c r="BE160" s="131"/>
      <c r="BF160" s="131"/>
      <c r="BG160" s="131"/>
      <c r="BH160" s="131"/>
      <c r="BI160" s="131"/>
      <c r="BJ160" s="131"/>
      <c r="BK160" s="131"/>
      <c r="BL160" s="131"/>
      <c r="BM160" s="131"/>
      <c r="BN160" s="131"/>
      <c r="BO160" s="131"/>
      <c r="BP160" s="131"/>
      <c r="BQ160" s="131"/>
      <c r="BR160" s="131"/>
      <c r="BS160" s="131"/>
      <c r="BT160" s="131"/>
      <c r="BU160" s="131"/>
      <c r="BV160" s="131"/>
      <c r="BW160" s="131"/>
      <c r="BX160" s="131"/>
      <c r="BY160" s="131"/>
      <c r="BZ160" s="131"/>
    </row>
    <row r="161" spans="2:78" s="128" customFormat="1" ht="10.5" hidden="1" x14ac:dyDescent="0.25">
      <c r="B161" s="138">
        <v>81</v>
      </c>
      <c r="C161" s="130">
        <v>0.95</v>
      </c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>
        <v>80</v>
      </c>
      <c r="T161" s="131">
        <v>57</v>
      </c>
      <c r="U161" s="131">
        <v>30</v>
      </c>
      <c r="V161" s="131">
        <v>18</v>
      </c>
      <c r="W161" s="131">
        <v>11</v>
      </c>
      <c r="X161" s="131">
        <v>7</v>
      </c>
      <c r="Y161" s="131">
        <v>4.75</v>
      </c>
      <c r="Z161" s="131">
        <v>3.5</v>
      </c>
      <c r="AA161" s="131">
        <v>2.5</v>
      </c>
      <c r="AB161" s="131">
        <v>1.85</v>
      </c>
      <c r="AC161" s="131">
        <v>1.25</v>
      </c>
      <c r="AD161" s="131">
        <v>1</v>
      </c>
      <c r="AE161" s="131">
        <v>0.72499999999999998</v>
      </c>
      <c r="AF161" s="131">
        <v>0.55000000000000004</v>
      </c>
      <c r="AG161" s="131">
        <v>0.42</v>
      </c>
      <c r="AH161" s="131">
        <v>0.34</v>
      </c>
      <c r="AI161" s="131">
        <v>0.3</v>
      </c>
      <c r="AJ161" s="131">
        <v>0.24</v>
      </c>
      <c r="AK161" s="131">
        <v>0.18</v>
      </c>
      <c r="AL161" s="131">
        <v>0.15</v>
      </c>
      <c r="AM161" s="131">
        <v>0.125</v>
      </c>
      <c r="AN161" s="131">
        <v>0.1</v>
      </c>
      <c r="AO161" s="131"/>
      <c r="AP161" s="131"/>
      <c r="AQ161" s="131"/>
      <c r="AR161" s="131"/>
      <c r="AS161" s="131"/>
      <c r="AT161" s="131"/>
      <c r="AU161" s="131"/>
      <c r="AV161" s="131"/>
      <c r="AW161" s="131"/>
      <c r="AX161" s="131"/>
      <c r="AY161" s="131"/>
      <c r="AZ161" s="131"/>
      <c r="BA161" s="131"/>
      <c r="BB161" s="131"/>
      <c r="BC161" s="131"/>
      <c r="BD161" s="131"/>
      <c r="BE161" s="131"/>
      <c r="BF161" s="131"/>
      <c r="BG161" s="131"/>
      <c r="BH161" s="131"/>
      <c r="BI161" s="131"/>
      <c r="BJ161" s="131"/>
      <c r="BK161" s="131"/>
      <c r="BL161" s="131"/>
      <c r="BM161" s="131"/>
      <c r="BN161" s="131"/>
      <c r="BO161" s="131"/>
      <c r="BP161" s="131"/>
      <c r="BQ161" s="131"/>
      <c r="BR161" s="131"/>
      <c r="BS161" s="131"/>
      <c r="BT161" s="131"/>
      <c r="BU161" s="131"/>
      <c r="BV161" s="131"/>
      <c r="BW161" s="131"/>
      <c r="BX161" s="131"/>
      <c r="BY161" s="131"/>
      <c r="BZ161" s="131"/>
    </row>
    <row r="162" spans="2:78" s="128" customFormat="1" ht="10.5" hidden="1" x14ac:dyDescent="0.25">
      <c r="B162" s="138">
        <v>82</v>
      </c>
      <c r="C162" s="130">
        <v>1</v>
      </c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>
        <v>63</v>
      </c>
      <c r="U162" s="131">
        <v>34</v>
      </c>
      <c r="V162" s="131">
        <v>20</v>
      </c>
      <c r="W162" s="131">
        <v>12</v>
      </c>
      <c r="X162" s="131">
        <v>8</v>
      </c>
      <c r="Y162" s="131">
        <v>5.6</v>
      </c>
      <c r="Z162" s="131">
        <v>4</v>
      </c>
      <c r="AA162" s="131">
        <v>2.7</v>
      </c>
      <c r="AB162" s="131">
        <v>2</v>
      </c>
      <c r="AC162" s="131">
        <v>1.4</v>
      </c>
      <c r="AD162" s="131">
        <v>1.1000000000000001</v>
      </c>
      <c r="AE162" s="131">
        <v>0.8</v>
      </c>
      <c r="AF162" s="131">
        <v>0.6</v>
      </c>
      <c r="AG162" s="131">
        <v>0.45</v>
      </c>
      <c r="AH162" s="131">
        <v>0.37</v>
      </c>
      <c r="AI162" s="131">
        <v>0.32</v>
      </c>
      <c r="AJ162" s="131">
        <v>0.26</v>
      </c>
      <c r="AK162" s="131">
        <v>0.2</v>
      </c>
      <c r="AL162" s="131">
        <v>0.16500000000000001</v>
      </c>
      <c r="AM162" s="131">
        <v>0.14000000000000001</v>
      </c>
      <c r="AN162" s="131">
        <v>0.11</v>
      </c>
      <c r="AO162" s="131">
        <v>0.1</v>
      </c>
      <c r="AP162" s="131"/>
      <c r="AQ162" s="131"/>
      <c r="AR162" s="131"/>
      <c r="AS162" s="131"/>
      <c r="AT162" s="131"/>
      <c r="AU162" s="131"/>
      <c r="AV162" s="131"/>
      <c r="AW162" s="131"/>
      <c r="AX162" s="131"/>
      <c r="AY162" s="131"/>
      <c r="AZ162" s="131"/>
      <c r="BA162" s="131"/>
      <c r="BB162" s="131"/>
      <c r="BC162" s="131"/>
      <c r="BD162" s="131"/>
      <c r="BE162" s="131"/>
      <c r="BF162" s="131"/>
      <c r="BG162" s="131"/>
      <c r="BH162" s="131"/>
      <c r="BI162" s="131"/>
      <c r="BJ162" s="131"/>
      <c r="BK162" s="131"/>
      <c r="BL162" s="131"/>
      <c r="BM162" s="131"/>
      <c r="BN162" s="131"/>
      <c r="BO162" s="131"/>
      <c r="BP162" s="131"/>
      <c r="BQ162" s="131"/>
      <c r="BR162" s="131"/>
      <c r="BS162" s="131"/>
      <c r="BT162" s="131"/>
      <c r="BU162" s="131"/>
      <c r="BV162" s="131"/>
      <c r="BW162" s="131"/>
      <c r="BX162" s="131"/>
      <c r="BY162" s="131"/>
      <c r="BZ162" s="131"/>
    </row>
    <row r="163" spans="2:78" s="128" customFormat="1" ht="10.5" hidden="1" x14ac:dyDescent="0.25">
      <c r="B163" s="138">
        <v>83</v>
      </c>
      <c r="C163" s="130">
        <v>1.1000000000000001</v>
      </c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>
        <v>76</v>
      </c>
      <c r="U163" s="131">
        <v>40</v>
      </c>
      <c r="V163" s="131">
        <v>24</v>
      </c>
      <c r="W163" s="131">
        <v>14.5</v>
      </c>
      <c r="X163" s="131">
        <v>9.5</v>
      </c>
      <c r="Y163" s="131">
        <v>7</v>
      </c>
      <c r="Z163" s="131">
        <v>4.7</v>
      </c>
      <c r="AA163" s="131">
        <v>3.2</v>
      </c>
      <c r="AB163" s="131">
        <v>2.4</v>
      </c>
      <c r="AC163" s="131">
        <v>1.6</v>
      </c>
      <c r="AD163" s="131">
        <v>1.3</v>
      </c>
      <c r="AE163" s="131">
        <v>0.95</v>
      </c>
      <c r="AF163" s="131">
        <v>0.75</v>
      </c>
      <c r="AG163" s="131">
        <v>0.54</v>
      </c>
      <c r="AH163" s="131">
        <v>0.45</v>
      </c>
      <c r="AI163" s="131">
        <v>0.4</v>
      </c>
      <c r="AJ163" s="131">
        <v>0.32</v>
      </c>
      <c r="AK163" s="131">
        <v>0.24</v>
      </c>
      <c r="AL163" s="131">
        <v>0.2</v>
      </c>
      <c r="AM163" s="131">
        <v>0.16500000000000001</v>
      </c>
      <c r="AN163" s="131">
        <v>0.13</v>
      </c>
      <c r="AO163" s="131">
        <v>0.12</v>
      </c>
      <c r="AP163" s="131">
        <v>0.1</v>
      </c>
      <c r="AQ163" s="131"/>
      <c r="AR163" s="131"/>
      <c r="AS163" s="131"/>
      <c r="AT163" s="131"/>
      <c r="AU163" s="131"/>
      <c r="AV163" s="131"/>
      <c r="AW163" s="131"/>
      <c r="AX163" s="131"/>
      <c r="AY163" s="131"/>
      <c r="AZ163" s="131"/>
      <c r="BA163" s="131"/>
      <c r="BB163" s="131"/>
      <c r="BC163" s="131"/>
      <c r="BD163" s="131"/>
      <c r="BE163" s="131"/>
      <c r="BF163" s="131"/>
      <c r="BG163" s="131"/>
      <c r="BH163" s="131"/>
      <c r="BI163" s="131"/>
      <c r="BJ163" s="131"/>
      <c r="BK163" s="131"/>
      <c r="BL163" s="131"/>
      <c r="BM163" s="131"/>
      <c r="BN163" s="131"/>
      <c r="BO163" s="131"/>
      <c r="BP163" s="131"/>
      <c r="BQ163" s="131"/>
      <c r="BR163" s="131"/>
      <c r="BS163" s="131"/>
      <c r="BT163" s="131"/>
      <c r="BU163" s="131"/>
      <c r="BV163" s="131"/>
      <c r="BW163" s="131"/>
      <c r="BX163" s="131"/>
      <c r="BY163" s="131"/>
      <c r="BZ163" s="131"/>
    </row>
    <row r="164" spans="2:78" s="128" customFormat="1" ht="10.5" hidden="1" x14ac:dyDescent="0.25">
      <c r="B164" s="138">
        <v>84</v>
      </c>
      <c r="C164" s="130">
        <v>1.2</v>
      </c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>
        <v>47.5</v>
      </c>
      <c r="V164" s="131">
        <v>28</v>
      </c>
      <c r="W164" s="131">
        <v>17</v>
      </c>
      <c r="X164" s="131">
        <v>11.25</v>
      </c>
      <c r="Y164" s="131">
        <v>8</v>
      </c>
      <c r="Z164" s="131">
        <v>5.5</v>
      </c>
      <c r="AA164" s="131">
        <v>3.8</v>
      </c>
      <c r="AB164" s="131">
        <v>2.8</v>
      </c>
      <c r="AC164" s="131">
        <v>1.9</v>
      </c>
      <c r="AD164" s="131">
        <v>1.5</v>
      </c>
      <c r="AE164" s="131">
        <v>1.1499999999999999</v>
      </c>
      <c r="AF164" s="131">
        <v>0.85</v>
      </c>
      <c r="AG164" s="131">
        <v>0.625</v>
      </c>
      <c r="AH164" s="131">
        <v>0.52500000000000002</v>
      </c>
      <c r="AI164" s="131">
        <v>0.45</v>
      </c>
      <c r="AJ164" s="131">
        <v>0.38</v>
      </c>
      <c r="AK164" s="131">
        <v>0.28000000000000003</v>
      </c>
      <c r="AL164" s="131">
        <v>0.24</v>
      </c>
      <c r="AM164" s="131">
        <v>0.2</v>
      </c>
      <c r="AN164" s="131">
        <v>0.155</v>
      </c>
      <c r="AO164" s="131">
        <v>0.14000000000000001</v>
      </c>
      <c r="AP164" s="131">
        <v>0.115</v>
      </c>
      <c r="AQ164" s="131">
        <v>0.1</v>
      </c>
      <c r="AR164" s="131"/>
      <c r="AS164" s="131"/>
      <c r="AT164" s="131"/>
      <c r="AU164" s="131"/>
      <c r="AV164" s="131"/>
      <c r="AW164" s="131"/>
      <c r="AX164" s="131"/>
      <c r="AY164" s="131"/>
      <c r="AZ164" s="131"/>
      <c r="BA164" s="131"/>
      <c r="BB164" s="131"/>
      <c r="BC164" s="131"/>
      <c r="BD164" s="131"/>
      <c r="BE164" s="131"/>
      <c r="BF164" s="131"/>
      <c r="BG164" s="131"/>
      <c r="BH164" s="131"/>
      <c r="BI164" s="131"/>
      <c r="BJ164" s="131"/>
      <c r="BK164" s="131"/>
      <c r="BL164" s="131"/>
      <c r="BM164" s="131"/>
      <c r="BN164" s="131"/>
      <c r="BO164" s="131"/>
      <c r="BP164" s="131"/>
      <c r="BQ164" s="131"/>
      <c r="BR164" s="131"/>
      <c r="BS164" s="131"/>
      <c r="BT164" s="131"/>
      <c r="BU164" s="131"/>
      <c r="BV164" s="131"/>
      <c r="BW164" s="131"/>
      <c r="BX164" s="131"/>
      <c r="BY164" s="131"/>
      <c r="BZ164" s="131"/>
    </row>
    <row r="165" spans="2:78" s="128" customFormat="1" ht="10.5" hidden="1" x14ac:dyDescent="0.25">
      <c r="B165" s="138">
        <v>85</v>
      </c>
      <c r="C165" s="130">
        <v>1.3</v>
      </c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>
        <v>55</v>
      </c>
      <c r="V165" s="131">
        <v>32</v>
      </c>
      <c r="W165" s="131">
        <v>20</v>
      </c>
      <c r="X165" s="131">
        <v>13</v>
      </c>
      <c r="Y165" s="131">
        <v>9.5</v>
      </c>
      <c r="Z165" s="131">
        <v>6.5</v>
      </c>
      <c r="AA165" s="131">
        <v>4.5</v>
      </c>
      <c r="AB165" s="131">
        <v>3.3</v>
      </c>
      <c r="AC165" s="131">
        <v>2.2000000000000002</v>
      </c>
      <c r="AD165" s="131">
        <v>1.75</v>
      </c>
      <c r="AE165" s="131">
        <v>1.35</v>
      </c>
      <c r="AF165" s="131">
        <v>1</v>
      </c>
      <c r="AG165" s="131">
        <v>0.75</v>
      </c>
      <c r="AH165" s="131">
        <v>0.6</v>
      </c>
      <c r="AI165" s="131">
        <v>0.52500000000000002</v>
      </c>
      <c r="AJ165" s="131">
        <v>0.44</v>
      </c>
      <c r="AK165" s="131">
        <v>0.33</v>
      </c>
      <c r="AL165" s="131">
        <v>0.28000000000000003</v>
      </c>
      <c r="AM165" s="131">
        <v>0.23</v>
      </c>
      <c r="AN165" s="131">
        <v>0.18</v>
      </c>
      <c r="AO165" s="131">
        <v>0.16500000000000001</v>
      </c>
      <c r="AP165" s="131">
        <v>0.13500000000000001</v>
      </c>
      <c r="AQ165" s="131">
        <v>0.115</v>
      </c>
      <c r="AR165" s="131">
        <v>0.1</v>
      </c>
      <c r="AS165" s="131"/>
      <c r="AT165" s="131"/>
      <c r="AU165" s="131"/>
      <c r="AV165" s="131"/>
      <c r="AW165" s="131"/>
      <c r="AX165" s="131"/>
      <c r="AY165" s="131"/>
      <c r="AZ165" s="131"/>
      <c r="BA165" s="131"/>
      <c r="BB165" s="131"/>
      <c r="BC165" s="131"/>
      <c r="BD165" s="131"/>
      <c r="BE165" s="131"/>
      <c r="BF165" s="131"/>
      <c r="BG165" s="131"/>
      <c r="BH165" s="131"/>
      <c r="BI165" s="131"/>
      <c r="BJ165" s="131"/>
      <c r="BK165" s="131"/>
      <c r="BL165" s="131"/>
      <c r="BM165" s="131"/>
      <c r="BN165" s="131"/>
      <c r="BO165" s="131"/>
      <c r="BP165" s="131"/>
      <c r="BQ165" s="131"/>
      <c r="BR165" s="131"/>
      <c r="BS165" s="131"/>
      <c r="BT165" s="131"/>
      <c r="BU165" s="131"/>
      <c r="BV165" s="131"/>
      <c r="BW165" s="131"/>
      <c r="BX165" s="131"/>
      <c r="BY165" s="131"/>
      <c r="BZ165" s="131"/>
    </row>
    <row r="166" spans="2:78" s="128" customFormat="1" ht="10.5" hidden="1" x14ac:dyDescent="0.25">
      <c r="B166" s="138">
        <v>86</v>
      </c>
      <c r="C166" s="130">
        <v>1.4</v>
      </c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>
        <v>65</v>
      </c>
      <c r="V166" s="131">
        <v>38</v>
      </c>
      <c r="W166" s="131">
        <v>23</v>
      </c>
      <c r="X166" s="131">
        <v>15</v>
      </c>
      <c r="Y166" s="131">
        <v>11</v>
      </c>
      <c r="Z166" s="131">
        <v>7.5</v>
      </c>
      <c r="AA166" s="131">
        <v>5</v>
      </c>
      <c r="AB166" s="131">
        <v>3.8</v>
      </c>
      <c r="AC166" s="131">
        <v>2.6</v>
      </c>
      <c r="AD166" s="131">
        <v>2</v>
      </c>
      <c r="AE166" s="131">
        <v>1.55</v>
      </c>
      <c r="AF166" s="131">
        <v>1.1499999999999999</v>
      </c>
      <c r="AG166" s="131">
        <v>0.85</v>
      </c>
      <c r="AH166" s="131">
        <v>0.7</v>
      </c>
      <c r="AI166" s="131">
        <v>0.6</v>
      </c>
      <c r="AJ166" s="131">
        <v>0.5</v>
      </c>
      <c r="AK166" s="131">
        <v>0.38</v>
      </c>
      <c r="AL166" s="131">
        <v>0.32</v>
      </c>
      <c r="AM166" s="131">
        <v>0.26</v>
      </c>
      <c r="AN166" s="131">
        <v>0.21</v>
      </c>
      <c r="AO166" s="131">
        <v>0.19</v>
      </c>
      <c r="AP166" s="131">
        <v>0.155</v>
      </c>
      <c r="AQ166" s="131">
        <v>0.13500000000000001</v>
      </c>
      <c r="AR166" s="131">
        <v>0.115</v>
      </c>
      <c r="AS166" s="131">
        <v>0.1</v>
      </c>
      <c r="AT166" s="131"/>
      <c r="AU166" s="131"/>
      <c r="AV166" s="131"/>
      <c r="AW166" s="131"/>
      <c r="AX166" s="131"/>
      <c r="AY166" s="131"/>
      <c r="AZ166" s="131"/>
      <c r="BA166" s="131"/>
      <c r="BB166" s="131"/>
      <c r="BC166" s="131"/>
      <c r="BD166" s="131"/>
      <c r="BE166" s="131"/>
      <c r="BF166" s="131"/>
      <c r="BG166" s="131"/>
      <c r="BH166" s="131"/>
      <c r="BI166" s="131"/>
      <c r="BJ166" s="131"/>
      <c r="BK166" s="131"/>
      <c r="BL166" s="131"/>
      <c r="BM166" s="131"/>
      <c r="BN166" s="131"/>
      <c r="BO166" s="131"/>
      <c r="BP166" s="131"/>
      <c r="BQ166" s="131"/>
      <c r="BR166" s="131"/>
      <c r="BS166" s="131"/>
      <c r="BT166" s="131"/>
      <c r="BU166" s="131"/>
      <c r="BV166" s="131"/>
      <c r="BW166" s="131"/>
      <c r="BX166" s="131"/>
      <c r="BY166" s="131"/>
      <c r="BZ166" s="131"/>
    </row>
    <row r="167" spans="2:78" s="128" customFormat="1" ht="10.5" hidden="1" x14ac:dyDescent="0.25">
      <c r="B167" s="138">
        <v>87</v>
      </c>
      <c r="C167" s="130">
        <v>1.5</v>
      </c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>
        <v>74</v>
      </c>
      <c r="V167" s="131">
        <v>42.5</v>
      </c>
      <c r="W167" s="131">
        <v>26</v>
      </c>
      <c r="X167" s="131">
        <v>17.5</v>
      </c>
      <c r="Y167" s="131">
        <v>12</v>
      </c>
      <c r="Z167" s="131">
        <v>8.5</v>
      </c>
      <c r="AA167" s="131">
        <v>6</v>
      </c>
      <c r="AB167" s="131">
        <v>4.5</v>
      </c>
      <c r="AC167" s="131">
        <v>3</v>
      </c>
      <c r="AD167" s="131">
        <v>2.2999999999999998</v>
      </c>
      <c r="AE167" s="131">
        <v>1.8</v>
      </c>
      <c r="AF167" s="131">
        <v>1.3</v>
      </c>
      <c r="AG167" s="131">
        <v>0.97499999999999998</v>
      </c>
      <c r="AH167" s="131">
        <v>0.8</v>
      </c>
      <c r="AI167" s="131">
        <v>0.7</v>
      </c>
      <c r="AJ167" s="131">
        <v>0.57499999999999996</v>
      </c>
      <c r="AK167" s="131">
        <v>0.42499999999999999</v>
      </c>
      <c r="AL167" s="131">
        <v>0.36</v>
      </c>
      <c r="AM167" s="131">
        <v>0.3</v>
      </c>
      <c r="AN167" s="131">
        <v>0.24</v>
      </c>
      <c r="AO167" s="131">
        <v>0.22</v>
      </c>
      <c r="AP167" s="131">
        <v>0.18</v>
      </c>
      <c r="AQ167" s="131">
        <v>0.15</v>
      </c>
      <c r="AR167" s="131">
        <v>0.13</v>
      </c>
      <c r="AS167" s="131">
        <v>0.115</v>
      </c>
      <c r="AT167" s="131">
        <v>0.1</v>
      </c>
      <c r="AU167" s="131"/>
      <c r="AV167" s="131"/>
      <c r="AW167" s="131"/>
      <c r="AX167" s="131"/>
      <c r="AY167" s="131"/>
      <c r="AZ167" s="131"/>
      <c r="BA167" s="131"/>
      <c r="BB167" s="131"/>
      <c r="BC167" s="131"/>
      <c r="BD167" s="131"/>
      <c r="BE167" s="131"/>
      <c r="BF167" s="131"/>
      <c r="BG167" s="131"/>
      <c r="BH167" s="131"/>
      <c r="BI167" s="131"/>
      <c r="BJ167" s="131"/>
      <c r="BK167" s="131"/>
      <c r="BL167" s="131"/>
      <c r="BM167" s="131"/>
      <c r="BN167" s="131"/>
      <c r="BO167" s="131"/>
      <c r="BP167" s="131"/>
      <c r="BQ167" s="131"/>
      <c r="BR167" s="131"/>
      <c r="BS167" s="131"/>
      <c r="BT167" s="131"/>
      <c r="BU167" s="131"/>
      <c r="BV167" s="131"/>
      <c r="BW167" s="131"/>
      <c r="BX167" s="131"/>
      <c r="BY167" s="131"/>
      <c r="BZ167" s="131"/>
    </row>
    <row r="168" spans="2:78" s="128" customFormat="1" ht="10.5" hidden="1" x14ac:dyDescent="0.25">
      <c r="B168" s="138">
        <v>88</v>
      </c>
      <c r="C168" s="130">
        <v>1.6</v>
      </c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>
        <v>85</v>
      </c>
      <c r="V168" s="131">
        <v>48</v>
      </c>
      <c r="W168" s="131">
        <v>30</v>
      </c>
      <c r="X168" s="131">
        <v>20</v>
      </c>
      <c r="Y168" s="131">
        <v>14</v>
      </c>
      <c r="Z168" s="131">
        <v>10</v>
      </c>
      <c r="AA168" s="131">
        <v>6.5</v>
      </c>
      <c r="AB168" s="131">
        <v>5</v>
      </c>
      <c r="AC168" s="131">
        <v>3.3</v>
      </c>
      <c r="AD168" s="131">
        <v>2.6</v>
      </c>
      <c r="AE168" s="131">
        <v>2</v>
      </c>
      <c r="AF168" s="131">
        <v>1.5</v>
      </c>
      <c r="AG168" s="131">
        <v>1.1000000000000001</v>
      </c>
      <c r="AH168" s="131">
        <v>0.9</v>
      </c>
      <c r="AI168" s="131">
        <v>0.75</v>
      </c>
      <c r="AJ168" s="131">
        <v>0.65</v>
      </c>
      <c r="AK168" s="131">
        <v>0.48</v>
      </c>
      <c r="AL168" s="131">
        <v>0.4</v>
      </c>
      <c r="AM168" s="131">
        <v>0.34</v>
      </c>
      <c r="AN168" s="131">
        <v>0.27</v>
      </c>
      <c r="AO168" s="131">
        <v>0.25</v>
      </c>
      <c r="AP168" s="131">
        <v>0.2</v>
      </c>
      <c r="AQ168" s="131">
        <v>0.17</v>
      </c>
      <c r="AR168" s="131">
        <v>0.15</v>
      </c>
      <c r="AS168" s="131">
        <v>0.125</v>
      </c>
      <c r="AT168" s="131">
        <v>0.11</v>
      </c>
      <c r="AU168" s="131">
        <v>0.1</v>
      </c>
      <c r="AV168" s="131"/>
      <c r="AW168" s="131"/>
      <c r="AX168" s="131"/>
      <c r="AY168" s="131"/>
      <c r="AZ168" s="131"/>
      <c r="BA168" s="131"/>
      <c r="BB168" s="131"/>
      <c r="BC168" s="131"/>
      <c r="BD168" s="131"/>
      <c r="BE168" s="131"/>
      <c r="BF168" s="131"/>
      <c r="BG168" s="131"/>
      <c r="BH168" s="131"/>
      <c r="BI168" s="131"/>
      <c r="BJ168" s="131"/>
      <c r="BK168" s="131"/>
      <c r="BL168" s="131"/>
      <c r="BM168" s="131"/>
      <c r="BN168" s="131"/>
      <c r="BO168" s="131"/>
      <c r="BP168" s="131"/>
      <c r="BQ168" s="131"/>
      <c r="BR168" s="131"/>
      <c r="BS168" s="131"/>
      <c r="BT168" s="131"/>
      <c r="BU168" s="131"/>
      <c r="BV168" s="131"/>
      <c r="BW168" s="131"/>
      <c r="BX168" s="131"/>
      <c r="BY168" s="131"/>
      <c r="BZ168" s="131"/>
    </row>
    <row r="169" spans="2:78" s="128" customFormat="1" ht="10.5" hidden="1" x14ac:dyDescent="0.25">
      <c r="B169" s="138">
        <v>89</v>
      </c>
      <c r="C169" s="130">
        <v>1.7</v>
      </c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>
        <v>55</v>
      </c>
      <c r="W169" s="131">
        <v>33</v>
      </c>
      <c r="X169" s="131">
        <v>22</v>
      </c>
      <c r="Y169" s="131">
        <v>16</v>
      </c>
      <c r="Z169" s="131">
        <v>11</v>
      </c>
      <c r="AA169" s="131">
        <v>7.5</v>
      </c>
      <c r="AB169" s="131">
        <v>5.5</v>
      </c>
      <c r="AC169" s="131">
        <v>3.8</v>
      </c>
      <c r="AD169" s="131">
        <v>3</v>
      </c>
      <c r="AE169" s="131">
        <v>2.2000000000000002</v>
      </c>
      <c r="AF169" s="131">
        <v>1.65</v>
      </c>
      <c r="AG169" s="131">
        <v>1.25</v>
      </c>
      <c r="AH169" s="131">
        <v>1</v>
      </c>
      <c r="AI169" s="131">
        <v>0.875</v>
      </c>
      <c r="AJ169" s="131">
        <v>0.72499999999999998</v>
      </c>
      <c r="AK169" s="131">
        <v>0.55000000000000004</v>
      </c>
      <c r="AL169" s="131">
        <v>0.45</v>
      </c>
      <c r="AM169" s="131">
        <v>0.38</v>
      </c>
      <c r="AN169" s="131">
        <v>0.3</v>
      </c>
      <c r="AO169" s="131">
        <v>0.27</v>
      </c>
      <c r="AP169" s="131">
        <v>0.22</v>
      </c>
      <c r="AQ169" s="131">
        <v>0.19</v>
      </c>
      <c r="AR169" s="131">
        <v>0.17</v>
      </c>
      <c r="AS169" s="131">
        <v>0.14499999999999999</v>
      </c>
      <c r="AT169" s="131">
        <v>0.125</v>
      </c>
      <c r="AU169" s="131">
        <v>0.11</v>
      </c>
      <c r="AV169" s="131"/>
      <c r="AW169" s="131"/>
      <c r="AX169" s="131"/>
      <c r="AY169" s="131"/>
      <c r="AZ169" s="131"/>
      <c r="BA169" s="131"/>
      <c r="BB169" s="131"/>
      <c r="BC169" s="131"/>
      <c r="BD169" s="131"/>
      <c r="BE169" s="131"/>
      <c r="BF169" s="131"/>
      <c r="BG169" s="131"/>
      <c r="BH169" s="131"/>
      <c r="BI169" s="131"/>
      <c r="BJ169" s="131"/>
      <c r="BK169" s="131"/>
      <c r="BL169" s="131"/>
      <c r="BM169" s="131"/>
      <c r="BN169" s="131"/>
      <c r="BO169" s="131"/>
      <c r="BP169" s="131"/>
      <c r="BQ169" s="131"/>
      <c r="BR169" s="131"/>
      <c r="BS169" s="131"/>
      <c r="BT169" s="131"/>
      <c r="BU169" s="131"/>
      <c r="BV169" s="131"/>
      <c r="BW169" s="131"/>
      <c r="BX169" s="131"/>
      <c r="BY169" s="131"/>
      <c r="BZ169" s="131"/>
    </row>
    <row r="170" spans="2:78" s="128" customFormat="1" ht="10.5" hidden="1" x14ac:dyDescent="0.25">
      <c r="B170" s="138">
        <v>90</v>
      </c>
      <c r="C170" s="130">
        <v>1.8</v>
      </c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>
        <v>61</v>
      </c>
      <c r="W170" s="131">
        <v>38</v>
      </c>
      <c r="X170" s="131">
        <v>25</v>
      </c>
      <c r="Y170" s="131">
        <v>18</v>
      </c>
      <c r="Z170" s="131">
        <v>12.5</v>
      </c>
      <c r="AA170" s="131">
        <v>8.5</v>
      </c>
      <c r="AB170" s="131">
        <v>6.25</v>
      </c>
      <c r="AC170" s="131">
        <v>4.25</v>
      </c>
      <c r="AD170" s="131">
        <v>3.4</v>
      </c>
      <c r="AE170" s="131">
        <v>2.4500000000000002</v>
      </c>
      <c r="AF170" s="131">
        <v>1.8</v>
      </c>
      <c r="AG170" s="131">
        <v>1.4</v>
      </c>
      <c r="AH170" s="131">
        <v>1.1499999999999999</v>
      </c>
      <c r="AI170" s="131">
        <v>1</v>
      </c>
      <c r="AJ170" s="131">
        <v>0.82499999999999996</v>
      </c>
      <c r="AK170" s="131">
        <v>0.625</v>
      </c>
      <c r="AL170" s="131">
        <v>0.5</v>
      </c>
      <c r="AM170" s="131">
        <v>0.42499999999999999</v>
      </c>
      <c r="AN170" s="131">
        <v>0.34</v>
      </c>
      <c r="AO170" s="131">
        <v>0.3</v>
      </c>
      <c r="AP170" s="131">
        <v>0.25</v>
      </c>
      <c r="AQ170" s="131">
        <v>0.22</v>
      </c>
      <c r="AR170" s="131">
        <v>0.19</v>
      </c>
      <c r="AS170" s="131">
        <v>0.16</v>
      </c>
      <c r="AT170" s="131">
        <v>0.14000000000000001</v>
      </c>
      <c r="AU170" s="131">
        <v>0.125</v>
      </c>
      <c r="AV170" s="131">
        <v>0.1</v>
      </c>
      <c r="AW170" s="131"/>
      <c r="AX170" s="131"/>
      <c r="AY170" s="131"/>
      <c r="AZ170" s="131"/>
      <c r="BA170" s="131"/>
      <c r="BB170" s="131"/>
      <c r="BC170" s="131"/>
      <c r="BD170" s="131"/>
      <c r="BE170" s="131"/>
      <c r="BF170" s="131"/>
      <c r="BG170" s="131"/>
      <c r="BH170" s="131"/>
      <c r="BI170" s="131"/>
      <c r="BJ170" s="131"/>
      <c r="BK170" s="131"/>
      <c r="BL170" s="131"/>
      <c r="BM170" s="131"/>
      <c r="BN170" s="131"/>
      <c r="BO170" s="131"/>
      <c r="BP170" s="131"/>
      <c r="BQ170" s="131"/>
      <c r="BR170" s="131"/>
      <c r="BS170" s="131"/>
      <c r="BT170" s="131"/>
      <c r="BU170" s="131"/>
      <c r="BV170" s="131"/>
      <c r="BW170" s="131"/>
      <c r="BX170" s="131"/>
      <c r="BY170" s="131"/>
      <c r="BZ170" s="131"/>
    </row>
    <row r="171" spans="2:78" s="128" customFormat="1" ht="10.5" hidden="1" x14ac:dyDescent="0.25">
      <c r="B171" s="138">
        <v>91</v>
      </c>
      <c r="C171" s="130">
        <v>1.9</v>
      </c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>
        <v>70</v>
      </c>
      <c r="W171" s="131">
        <v>42.5</v>
      </c>
      <c r="X171" s="131">
        <v>28</v>
      </c>
      <c r="Y171" s="131">
        <v>20</v>
      </c>
      <c r="Z171" s="131">
        <v>14</v>
      </c>
      <c r="AA171" s="131">
        <v>9.5</v>
      </c>
      <c r="AB171" s="131">
        <v>7</v>
      </c>
      <c r="AC171" s="131">
        <v>4.75</v>
      </c>
      <c r="AD171" s="131">
        <v>3.7</v>
      </c>
      <c r="AE171" s="131">
        <v>2.8</v>
      </c>
      <c r="AF171" s="131">
        <v>2.1</v>
      </c>
      <c r="AG171" s="131">
        <v>1.55</v>
      </c>
      <c r="AH171" s="131">
        <v>1.25</v>
      </c>
      <c r="AI171" s="131">
        <v>1.1000000000000001</v>
      </c>
      <c r="AJ171" s="131">
        <v>0.9</v>
      </c>
      <c r="AK171" s="131">
        <v>0.7</v>
      </c>
      <c r="AL171" s="131">
        <v>0.55000000000000004</v>
      </c>
      <c r="AM171" s="131">
        <v>0.47499999999999998</v>
      </c>
      <c r="AN171" s="131">
        <v>0.4</v>
      </c>
      <c r="AO171" s="131">
        <v>0.34</v>
      </c>
      <c r="AP171" s="131">
        <v>0.28000000000000003</v>
      </c>
      <c r="AQ171" s="131">
        <v>0.24</v>
      </c>
      <c r="AR171" s="131">
        <v>0.21</v>
      </c>
      <c r="AS171" s="131">
        <v>0.18</v>
      </c>
      <c r="AT171" s="131">
        <v>0.16</v>
      </c>
      <c r="AU171" s="131">
        <v>0.14000000000000001</v>
      </c>
      <c r="AV171" s="131">
        <v>0.11</v>
      </c>
      <c r="AW171" s="131">
        <v>0.1</v>
      </c>
      <c r="AX171" s="131"/>
      <c r="AY171" s="131"/>
      <c r="AZ171" s="131"/>
      <c r="BA171" s="131"/>
      <c r="BB171" s="131"/>
      <c r="BC171" s="131"/>
      <c r="BD171" s="131"/>
      <c r="BE171" s="131"/>
      <c r="BF171" s="131"/>
      <c r="BG171" s="131"/>
      <c r="BH171" s="131"/>
      <c r="BI171" s="131"/>
      <c r="BJ171" s="131"/>
      <c r="BK171" s="131"/>
      <c r="BL171" s="131"/>
      <c r="BM171" s="131"/>
      <c r="BN171" s="131"/>
      <c r="BO171" s="131"/>
      <c r="BP171" s="131"/>
      <c r="BQ171" s="131"/>
      <c r="BR171" s="131"/>
      <c r="BS171" s="131"/>
      <c r="BT171" s="131"/>
      <c r="BU171" s="131"/>
      <c r="BV171" s="131"/>
      <c r="BW171" s="131"/>
      <c r="BX171" s="131"/>
      <c r="BY171" s="131"/>
      <c r="BZ171" s="131"/>
    </row>
    <row r="172" spans="2:78" s="128" customFormat="1" ht="10.5" hidden="1" x14ac:dyDescent="0.25">
      <c r="B172" s="138">
        <v>92</v>
      </c>
      <c r="C172" s="130">
        <v>2</v>
      </c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>
        <v>77</v>
      </c>
      <c r="W172" s="131">
        <v>45</v>
      </c>
      <c r="X172" s="131">
        <v>30</v>
      </c>
      <c r="Y172" s="131">
        <v>22</v>
      </c>
      <c r="Z172" s="131">
        <v>15</v>
      </c>
      <c r="AA172" s="131">
        <v>10</v>
      </c>
      <c r="AB172" s="131">
        <v>7.5</v>
      </c>
      <c r="AC172" s="131">
        <v>5.25</v>
      </c>
      <c r="AD172" s="131">
        <v>4</v>
      </c>
      <c r="AE172" s="131">
        <v>3</v>
      </c>
      <c r="AF172" s="131">
        <v>2.2999999999999998</v>
      </c>
      <c r="AG172" s="131">
        <v>1.7</v>
      </c>
      <c r="AH172" s="131">
        <v>1.4</v>
      </c>
      <c r="AI172" s="131">
        <v>1.2</v>
      </c>
      <c r="AJ172" s="131">
        <v>1</v>
      </c>
      <c r="AK172" s="131">
        <v>0.75</v>
      </c>
      <c r="AL172" s="131">
        <v>0.625</v>
      </c>
      <c r="AM172" s="131">
        <v>0.52500000000000002</v>
      </c>
      <c r="AN172" s="131">
        <v>0.44</v>
      </c>
      <c r="AO172" s="131">
        <v>0.36</v>
      </c>
      <c r="AP172" s="131">
        <v>0.31</v>
      </c>
      <c r="AQ172" s="131">
        <v>0.27</v>
      </c>
      <c r="AR172" s="131">
        <v>0.22</v>
      </c>
      <c r="AS172" s="131">
        <v>0.2</v>
      </c>
      <c r="AT172" s="131">
        <v>0.17</v>
      </c>
      <c r="AU172" s="131">
        <v>0.15</v>
      </c>
      <c r="AV172" s="131">
        <v>0.12</v>
      </c>
      <c r="AW172" s="131">
        <v>0.11</v>
      </c>
      <c r="AX172" s="131">
        <v>0.1</v>
      </c>
      <c r="AY172" s="131"/>
      <c r="AZ172" s="131"/>
      <c r="BA172" s="131"/>
      <c r="BB172" s="131"/>
      <c r="BC172" s="131"/>
      <c r="BD172" s="131"/>
      <c r="BE172" s="131"/>
      <c r="BF172" s="131"/>
      <c r="BG172" s="131"/>
      <c r="BH172" s="131"/>
      <c r="BI172" s="131"/>
      <c r="BJ172" s="131"/>
      <c r="BK172" s="131"/>
      <c r="BL172" s="131"/>
      <c r="BM172" s="131"/>
      <c r="BN172" s="131"/>
      <c r="BO172" s="131"/>
      <c r="BP172" s="131"/>
      <c r="BQ172" s="131"/>
      <c r="BR172" s="131"/>
      <c r="BS172" s="131"/>
      <c r="BT172" s="131"/>
      <c r="BU172" s="131"/>
      <c r="BV172" s="131"/>
      <c r="BW172" s="131"/>
      <c r="BX172" s="131"/>
      <c r="BY172" s="131"/>
      <c r="BZ172" s="131"/>
    </row>
    <row r="173" spans="2:78" s="128" customFormat="1" ht="10.5" hidden="1" x14ac:dyDescent="0.25">
      <c r="B173" s="138">
        <v>93</v>
      </c>
      <c r="C173" s="130">
        <v>2.1</v>
      </c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>
        <v>50</v>
      </c>
      <c r="X173" s="131">
        <v>33</v>
      </c>
      <c r="Y173" s="131">
        <v>24</v>
      </c>
      <c r="Z173" s="131">
        <v>16.5</v>
      </c>
      <c r="AA173" s="131">
        <v>11</v>
      </c>
      <c r="AB173" s="131">
        <v>8.5</v>
      </c>
      <c r="AC173" s="131">
        <v>5.75</v>
      </c>
      <c r="AD173" s="131">
        <v>4.5</v>
      </c>
      <c r="AE173" s="131">
        <v>3.3</v>
      </c>
      <c r="AF173" s="131">
        <v>2.6</v>
      </c>
      <c r="AG173" s="131">
        <v>1.85</v>
      </c>
      <c r="AH173" s="131">
        <v>1.5</v>
      </c>
      <c r="AI173" s="131">
        <v>1.35</v>
      </c>
      <c r="AJ173" s="131">
        <v>1.1000000000000001</v>
      </c>
      <c r="AK173" s="131">
        <v>0.85</v>
      </c>
      <c r="AL173" s="131">
        <v>0.67500000000000004</v>
      </c>
      <c r="AM173" s="131">
        <v>0.57499999999999996</v>
      </c>
      <c r="AN173" s="131">
        <v>0.47</v>
      </c>
      <c r="AO173" s="131">
        <v>0.4</v>
      </c>
      <c r="AP173" s="131">
        <v>0.34</v>
      </c>
      <c r="AQ173" s="131">
        <v>0.3</v>
      </c>
      <c r="AR173" s="131">
        <v>0.24</v>
      </c>
      <c r="AS173" s="131">
        <v>0.22</v>
      </c>
      <c r="AT173" s="131">
        <v>0.19</v>
      </c>
      <c r="AU173" s="131">
        <v>0.16500000000000001</v>
      </c>
      <c r="AV173" s="131">
        <v>0.13</v>
      </c>
      <c r="AW173" s="131">
        <v>0.12</v>
      </c>
      <c r="AX173" s="131">
        <v>0.11</v>
      </c>
      <c r="AY173" s="131"/>
      <c r="AZ173" s="131"/>
      <c r="BA173" s="131"/>
      <c r="BB173" s="131"/>
      <c r="BC173" s="131"/>
      <c r="BD173" s="131"/>
      <c r="BE173" s="131"/>
      <c r="BF173" s="131"/>
      <c r="BG173" s="131"/>
      <c r="BH173" s="131"/>
      <c r="BI173" s="131"/>
      <c r="BJ173" s="131"/>
      <c r="BK173" s="131"/>
      <c r="BL173" s="131"/>
      <c r="BM173" s="131"/>
      <c r="BN173" s="131"/>
      <c r="BO173" s="131"/>
      <c r="BP173" s="131"/>
      <c r="BQ173" s="131"/>
      <c r="BR173" s="131"/>
      <c r="BS173" s="131"/>
      <c r="BT173" s="131"/>
      <c r="BU173" s="131"/>
      <c r="BV173" s="131"/>
      <c r="BW173" s="131"/>
      <c r="BX173" s="131"/>
      <c r="BY173" s="131"/>
      <c r="BZ173" s="131"/>
    </row>
    <row r="174" spans="2:78" s="128" customFormat="1" ht="10.5" hidden="1" x14ac:dyDescent="0.25">
      <c r="B174" s="138">
        <v>94</v>
      </c>
      <c r="C174" s="130">
        <v>2.2000000000000002</v>
      </c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>
        <v>55</v>
      </c>
      <c r="X174" s="131">
        <v>36</v>
      </c>
      <c r="Y174" s="131">
        <v>26</v>
      </c>
      <c r="Z174" s="131">
        <v>17</v>
      </c>
      <c r="AA174" s="131">
        <v>12</v>
      </c>
      <c r="AB174" s="131">
        <v>9</v>
      </c>
      <c r="AC174" s="131">
        <v>6.5</v>
      </c>
      <c r="AD174" s="131">
        <v>5</v>
      </c>
      <c r="AE174" s="131">
        <v>3.6</v>
      </c>
      <c r="AF174" s="131">
        <v>2.9</v>
      </c>
      <c r="AG174" s="131">
        <v>2</v>
      </c>
      <c r="AH174" s="131">
        <v>1.65</v>
      </c>
      <c r="AI174" s="131">
        <v>1.5</v>
      </c>
      <c r="AJ174" s="131">
        <v>1.2</v>
      </c>
      <c r="AK174" s="131">
        <v>0.92500000000000004</v>
      </c>
      <c r="AL174" s="131">
        <v>0.75</v>
      </c>
      <c r="AM174" s="131">
        <v>0.65</v>
      </c>
      <c r="AN174" s="131">
        <v>0.52500000000000002</v>
      </c>
      <c r="AO174" s="131">
        <v>0.44</v>
      </c>
      <c r="AP174" s="131">
        <v>0.37</v>
      </c>
      <c r="AQ174" s="131">
        <v>0.33</v>
      </c>
      <c r="AR174" s="131">
        <v>0.27</v>
      </c>
      <c r="AS174" s="131">
        <v>0.24</v>
      </c>
      <c r="AT174" s="131">
        <v>0.21</v>
      </c>
      <c r="AU174" s="131">
        <v>0.185</v>
      </c>
      <c r="AV174" s="131">
        <v>0.14499999999999999</v>
      </c>
      <c r="AW174" s="131">
        <v>0.13</v>
      </c>
      <c r="AX174" s="131">
        <v>0.12</v>
      </c>
      <c r="AY174" s="131">
        <v>0.1</v>
      </c>
      <c r="AZ174" s="131"/>
      <c r="BA174" s="131"/>
      <c r="BB174" s="131"/>
      <c r="BC174" s="131"/>
      <c r="BD174" s="131"/>
      <c r="BE174" s="131"/>
      <c r="BF174" s="131"/>
      <c r="BG174" s="131"/>
      <c r="BH174" s="131"/>
      <c r="BI174" s="131"/>
      <c r="BJ174" s="131"/>
      <c r="BK174" s="131"/>
      <c r="BL174" s="131"/>
      <c r="BM174" s="131"/>
      <c r="BN174" s="131"/>
      <c r="BO174" s="131"/>
      <c r="BP174" s="131"/>
      <c r="BQ174" s="131"/>
      <c r="BR174" s="131"/>
      <c r="BS174" s="131"/>
      <c r="BT174" s="131"/>
      <c r="BU174" s="131"/>
      <c r="BV174" s="131"/>
      <c r="BW174" s="131"/>
      <c r="BX174" s="131"/>
      <c r="BY174" s="131"/>
      <c r="BZ174" s="131"/>
    </row>
    <row r="175" spans="2:78" s="128" customFormat="1" ht="10.5" hidden="1" x14ac:dyDescent="0.25">
      <c r="B175" s="138">
        <v>95</v>
      </c>
      <c r="C175" s="130">
        <v>2.2999999999999998</v>
      </c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>
        <v>60</v>
      </c>
      <c r="X175" s="131">
        <v>40</v>
      </c>
      <c r="Y175" s="131">
        <v>28</v>
      </c>
      <c r="Z175" s="131">
        <v>18.5</v>
      </c>
      <c r="AA175" s="131">
        <v>13</v>
      </c>
      <c r="AB175" s="131">
        <v>10</v>
      </c>
      <c r="AC175" s="131">
        <v>7</v>
      </c>
      <c r="AD175" s="131">
        <v>5.4</v>
      </c>
      <c r="AE175" s="131">
        <v>4</v>
      </c>
      <c r="AF175" s="131">
        <v>3.1</v>
      </c>
      <c r="AG175" s="131">
        <v>2.1</v>
      </c>
      <c r="AH175" s="131">
        <v>1.8</v>
      </c>
      <c r="AI175" s="131">
        <v>1.6</v>
      </c>
      <c r="AJ175" s="131">
        <v>1.3</v>
      </c>
      <c r="AK175" s="131">
        <v>1</v>
      </c>
      <c r="AL175" s="131">
        <v>0.8</v>
      </c>
      <c r="AM175" s="131">
        <v>0.7</v>
      </c>
      <c r="AN175" s="131">
        <v>0.57499999999999996</v>
      </c>
      <c r="AO175" s="131">
        <v>0.47499999999999998</v>
      </c>
      <c r="AP175" s="131">
        <v>0.4</v>
      </c>
      <c r="AQ175" s="131">
        <v>0.36</v>
      </c>
      <c r="AR175" s="131">
        <v>0.28999999999999998</v>
      </c>
      <c r="AS175" s="131">
        <v>0.26</v>
      </c>
      <c r="AT175" s="131">
        <v>0.23</v>
      </c>
      <c r="AU175" s="131">
        <v>0.2</v>
      </c>
      <c r="AV175" s="131">
        <v>0.155</v>
      </c>
      <c r="AW175" s="131">
        <v>0.14000000000000001</v>
      </c>
      <c r="AX175" s="131">
        <v>0.13</v>
      </c>
      <c r="AY175" s="131">
        <v>0.11</v>
      </c>
      <c r="AZ175" s="131"/>
      <c r="BA175" s="131"/>
      <c r="BB175" s="131"/>
      <c r="BC175" s="131"/>
      <c r="BD175" s="131"/>
      <c r="BE175" s="131"/>
      <c r="BF175" s="131"/>
      <c r="BG175" s="131"/>
      <c r="BH175" s="131"/>
      <c r="BI175" s="131"/>
      <c r="BJ175" s="131"/>
      <c r="BK175" s="131"/>
      <c r="BL175" s="131"/>
      <c r="BM175" s="131"/>
      <c r="BN175" s="131"/>
      <c r="BO175" s="131"/>
      <c r="BP175" s="131"/>
      <c r="BQ175" s="131"/>
      <c r="BR175" s="131"/>
      <c r="BS175" s="131"/>
      <c r="BT175" s="131"/>
      <c r="BU175" s="131"/>
      <c r="BV175" s="131"/>
      <c r="BW175" s="131"/>
      <c r="BX175" s="131"/>
      <c r="BY175" s="131"/>
      <c r="BZ175" s="131"/>
    </row>
    <row r="176" spans="2:78" s="128" customFormat="1" ht="10.5" hidden="1" x14ac:dyDescent="0.25">
      <c r="B176" s="138">
        <v>96</v>
      </c>
      <c r="C176" s="130">
        <v>2.4</v>
      </c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>
        <v>65</v>
      </c>
      <c r="X176" s="131">
        <v>42.5</v>
      </c>
      <c r="Y176" s="131">
        <v>30</v>
      </c>
      <c r="Z176" s="131">
        <v>20</v>
      </c>
      <c r="AA176" s="131">
        <v>14</v>
      </c>
      <c r="AB176" s="131">
        <v>11</v>
      </c>
      <c r="AC176" s="131">
        <v>7.5</v>
      </c>
      <c r="AD176" s="131">
        <v>5.75</v>
      </c>
      <c r="AE176" s="131">
        <v>4.25</v>
      </c>
      <c r="AF176" s="131">
        <v>3.3</v>
      </c>
      <c r="AG176" s="131">
        <v>2.2000000000000002</v>
      </c>
      <c r="AH176" s="131">
        <v>1.9</v>
      </c>
      <c r="AI176" s="131">
        <v>1.7</v>
      </c>
      <c r="AJ176" s="131">
        <v>1.4</v>
      </c>
      <c r="AK176" s="131">
        <v>1.1000000000000001</v>
      </c>
      <c r="AL176" s="131">
        <v>0.875</v>
      </c>
      <c r="AM176" s="131">
        <v>0.75</v>
      </c>
      <c r="AN176" s="131">
        <v>0.6</v>
      </c>
      <c r="AO176" s="131">
        <v>0.52500000000000002</v>
      </c>
      <c r="AP176" s="131">
        <v>0.44</v>
      </c>
      <c r="AQ176" s="131">
        <v>0.38</v>
      </c>
      <c r="AR176" s="131">
        <v>0.31</v>
      </c>
      <c r="AS176" s="131">
        <v>0.28000000000000003</v>
      </c>
      <c r="AT176" s="131">
        <v>0.24</v>
      </c>
      <c r="AU176" s="131">
        <v>0.21</v>
      </c>
      <c r="AV176" s="131">
        <v>0.17</v>
      </c>
      <c r="AW176" s="131">
        <v>0.15</v>
      </c>
      <c r="AX176" s="131">
        <v>0.14000000000000001</v>
      </c>
      <c r="AY176" s="131">
        <v>0.12</v>
      </c>
      <c r="AZ176" s="131">
        <v>0.1</v>
      </c>
      <c r="BA176" s="131"/>
      <c r="BB176" s="131"/>
      <c r="BC176" s="131"/>
      <c r="BD176" s="131"/>
      <c r="BE176" s="131"/>
      <c r="BF176" s="131"/>
      <c r="BG176" s="131"/>
      <c r="BH176" s="131"/>
      <c r="BI176" s="131"/>
      <c r="BJ176" s="131"/>
      <c r="BK176" s="131"/>
      <c r="BL176" s="131"/>
      <c r="BM176" s="131"/>
      <c r="BN176" s="131"/>
      <c r="BO176" s="131"/>
      <c r="BP176" s="131"/>
      <c r="BQ176" s="131"/>
      <c r="BR176" s="131"/>
      <c r="BS176" s="131"/>
      <c r="BT176" s="131"/>
      <c r="BU176" s="131"/>
      <c r="BV176" s="131"/>
      <c r="BW176" s="131"/>
      <c r="BX176" s="131"/>
      <c r="BY176" s="131"/>
      <c r="BZ176" s="131"/>
    </row>
    <row r="177" spans="2:78" s="128" customFormat="1" ht="10.5" hidden="1" x14ac:dyDescent="0.25">
      <c r="B177" s="138">
        <v>97</v>
      </c>
      <c r="C177" s="130">
        <v>2.5</v>
      </c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>
        <v>70</v>
      </c>
      <c r="X177" s="131">
        <v>45</v>
      </c>
      <c r="Y177" s="131">
        <v>32</v>
      </c>
      <c r="Z177" s="131">
        <v>22</v>
      </c>
      <c r="AA177" s="131">
        <v>15</v>
      </c>
      <c r="AB177" s="131">
        <v>11.5</v>
      </c>
      <c r="AC177" s="131">
        <v>8</v>
      </c>
      <c r="AD177" s="131">
        <v>6.25</v>
      </c>
      <c r="AE177" s="131">
        <v>4.5999999999999996</v>
      </c>
      <c r="AF177" s="131">
        <v>3.6</v>
      </c>
      <c r="AG177" s="131">
        <v>2.6</v>
      </c>
      <c r="AH177" s="131">
        <v>2.1</v>
      </c>
      <c r="AI177" s="131">
        <v>1.85</v>
      </c>
      <c r="AJ177" s="131">
        <v>1.5</v>
      </c>
      <c r="AK177" s="131">
        <v>1.2</v>
      </c>
      <c r="AL177" s="131">
        <v>0.95</v>
      </c>
      <c r="AM177" s="131">
        <v>0.8</v>
      </c>
      <c r="AN177" s="131">
        <v>0.65</v>
      </c>
      <c r="AO177" s="131">
        <v>0.55000000000000004</v>
      </c>
      <c r="AP177" s="131">
        <v>0.47</v>
      </c>
      <c r="AQ177" s="131">
        <v>0.42499999999999999</v>
      </c>
      <c r="AR177" s="131">
        <v>0.34</v>
      </c>
      <c r="AS177" s="131">
        <v>0.3</v>
      </c>
      <c r="AT177" s="131">
        <v>0.26</v>
      </c>
      <c r="AU177" s="131">
        <v>0.23</v>
      </c>
      <c r="AV177" s="131">
        <v>0.185</v>
      </c>
      <c r="AW177" s="131">
        <v>0.16500000000000001</v>
      </c>
      <c r="AX177" s="131">
        <v>0.15</v>
      </c>
      <c r="AY177" s="131">
        <v>0.13</v>
      </c>
      <c r="AZ177" s="132">
        <v>0.11</v>
      </c>
      <c r="BA177" s="131"/>
      <c r="BB177" s="131"/>
      <c r="BC177" s="131"/>
      <c r="BD177" s="131"/>
      <c r="BE177" s="131"/>
      <c r="BF177" s="131"/>
      <c r="BG177" s="131"/>
      <c r="BH177" s="131"/>
      <c r="BI177" s="131"/>
      <c r="BJ177" s="131"/>
      <c r="BK177" s="131"/>
      <c r="BL177" s="131"/>
      <c r="BM177" s="131"/>
      <c r="BN177" s="131"/>
      <c r="BO177" s="131"/>
      <c r="BP177" s="131"/>
      <c r="BQ177" s="131"/>
      <c r="BR177" s="131"/>
      <c r="BS177" s="131"/>
      <c r="BT177" s="131"/>
      <c r="BU177" s="131"/>
      <c r="BV177" s="131"/>
      <c r="BW177" s="131"/>
      <c r="BX177" s="131"/>
      <c r="BY177" s="131"/>
      <c r="BZ177" s="131"/>
    </row>
    <row r="178" spans="2:78" s="128" customFormat="1" ht="10.5" hidden="1" x14ac:dyDescent="0.25">
      <c r="B178" s="138">
        <v>98</v>
      </c>
      <c r="C178" s="130">
        <v>2.6</v>
      </c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>
        <v>75</v>
      </c>
      <c r="X178" s="131">
        <v>50</v>
      </c>
      <c r="Y178" s="131">
        <v>35</v>
      </c>
      <c r="Z178" s="131">
        <v>24</v>
      </c>
      <c r="AA178" s="131">
        <v>16</v>
      </c>
      <c r="AB178" s="131">
        <v>12.5</v>
      </c>
      <c r="AC178" s="131">
        <v>9</v>
      </c>
      <c r="AD178" s="131">
        <v>6.75</v>
      </c>
      <c r="AE178" s="131">
        <v>5</v>
      </c>
      <c r="AF178" s="131">
        <v>3.9</v>
      </c>
      <c r="AG178" s="131">
        <v>2.8</v>
      </c>
      <c r="AH178" s="131">
        <v>2.2000000000000002</v>
      </c>
      <c r="AI178" s="131">
        <v>2</v>
      </c>
      <c r="AJ178" s="131">
        <v>1.6</v>
      </c>
      <c r="AK178" s="131">
        <v>1.3</v>
      </c>
      <c r="AL178" s="131">
        <v>1</v>
      </c>
      <c r="AM178" s="131">
        <v>0.9</v>
      </c>
      <c r="AN178" s="131">
        <v>0.7</v>
      </c>
      <c r="AO178" s="131">
        <v>0.6</v>
      </c>
      <c r="AP178" s="131">
        <v>0.5</v>
      </c>
      <c r="AQ178" s="131">
        <v>0.45</v>
      </c>
      <c r="AR178" s="131">
        <v>0.37</v>
      </c>
      <c r="AS178" s="131">
        <v>0.32</v>
      </c>
      <c r="AT178" s="131">
        <v>0.28000000000000003</v>
      </c>
      <c r="AU178" s="131">
        <v>0.25</v>
      </c>
      <c r="AV178" s="131">
        <v>0.2</v>
      </c>
      <c r="AW178" s="131">
        <v>0.18</v>
      </c>
      <c r="AX178" s="131">
        <v>0.16</v>
      </c>
      <c r="AY178" s="131">
        <v>0.14000000000000001</v>
      </c>
      <c r="AZ178" s="131">
        <v>0.12</v>
      </c>
      <c r="BA178" s="131"/>
      <c r="BB178" s="131"/>
      <c r="BC178" s="131"/>
      <c r="BD178" s="131"/>
      <c r="BE178" s="131"/>
      <c r="BF178" s="131"/>
      <c r="BG178" s="131"/>
      <c r="BH178" s="131"/>
      <c r="BI178" s="131"/>
      <c r="BJ178" s="131"/>
      <c r="BK178" s="131"/>
      <c r="BL178" s="131"/>
      <c r="BM178" s="131"/>
      <c r="BN178" s="131"/>
      <c r="BO178" s="131"/>
      <c r="BP178" s="131"/>
      <c r="BQ178" s="131"/>
      <c r="BR178" s="131"/>
      <c r="BS178" s="131"/>
      <c r="BT178" s="131"/>
      <c r="BU178" s="131"/>
      <c r="BV178" s="131"/>
      <c r="BW178" s="131"/>
      <c r="BX178" s="131"/>
      <c r="BY178" s="131"/>
      <c r="BZ178" s="131"/>
    </row>
    <row r="179" spans="2:78" s="128" customFormat="1" ht="10.5" hidden="1" x14ac:dyDescent="0.25">
      <c r="B179" s="138">
        <v>99</v>
      </c>
      <c r="C179" s="130">
        <v>2.7</v>
      </c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>
        <v>80</v>
      </c>
      <c r="X179" s="131">
        <v>55</v>
      </c>
      <c r="Y179" s="131">
        <v>38</v>
      </c>
      <c r="Z179" s="131">
        <v>25</v>
      </c>
      <c r="AA179" s="131">
        <v>17</v>
      </c>
      <c r="AB179" s="131">
        <v>13.5</v>
      </c>
      <c r="AC179" s="131">
        <v>9.5</v>
      </c>
      <c r="AD179" s="131">
        <v>7.25</v>
      </c>
      <c r="AE179" s="131">
        <v>5.25</v>
      </c>
      <c r="AF179" s="131">
        <v>4.25</v>
      </c>
      <c r="AG179" s="131">
        <v>3</v>
      </c>
      <c r="AH179" s="131">
        <v>2.4</v>
      </c>
      <c r="AI179" s="131">
        <v>2.1</v>
      </c>
      <c r="AJ179" s="131">
        <v>1.7</v>
      </c>
      <c r="AK179" s="131">
        <v>1.4</v>
      </c>
      <c r="AL179" s="131">
        <v>1.05</v>
      </c>
      <c r="AM179" s="131">
        <v>0.95</v>
      </c>
      <c r="AN179" s="131">
        <v>0.75</v>
      </c>
      <c r="AO179" s="131">
        <v>0.65</v>
      </c>
      <c r="AP179" s="131">
        <v>0.55000000000000004</v>
      </c>
      <c r="AQ179" s="131">
        <v>0.47499999999999998</v>
      </c>
      <c r="AR179" s="131">
        <v>0.4</v>
      </c>
      <c r="AS179" s="131">
        <v>0.35</v>
      </c>
      <c r="AT179" s="131">
        <v>0.3</v>
      </c>
      <c r="AU179" s="131">
        <v>0.27500000000000002</v>
      </c>
      <c r="AV179" s="131">
        <v>0.21</v>
      </c>
      <c r="AW179" s="131">
        <v>0.19</v>
      </c>
      <c r="AX179" s="131">
        <v>0.17499999999999999</v>
      </c>
      <c r="AY179" s="131">
        <v>0.15</v>
      </c>
      <c r="AZ179" s="131">
        <v>0.13</v>
      </c>
      <c r="BA179" s="131">
        <v>0.1</v>
      </c>
      <c r="BB179" s="131"/>
      <c r="BC179" s="131"/>
      <c r="BD179" s="131"/>
      <c r="BE179" s="131"/>
      <c r="BF179" s="131"/>
      <c r="BG179" s="131"/>
      <c r="BH179" s="131"/>
      <c r="BI179" s="131"/>
      <c r="BJ179" s="131"/>
      <c r="BK179" s="131"/>
      <c r="BL179" s="131"/>
      <c r="BM179" s="131"/>
      <c r="BN179" s="131"/>
      <c r="BO179" s="131"/>
      <c r="BP179" s="131"/>
      <c r="BQ179" s="131"/>
      <c r="BR179" s="131"/>
      <c r="BS179" s="131"/>
      <c r="BT179" s="131"/>
      <c r="BU179" s="131"/>
      <c r="BV179" s="131"/>
      <c r="BW179" s="131"/>
      <c r="BX179" s="131"/>
      <c r="BY179" s="131"/>
      <c r="BZ179" s="131"/>
    </row>
    <row r="180" spans="2:78" s="128" customFormat="1" ht="10.5" hidden="1" x14ac:dyDescent="0.25">
      <c r="B180" s="138">
        <v>100</v>
      </c>
      <c r="C180" s="130">
        <v>2.8</v>
      </c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>
        <v>57.5</v>
      </c>
      <c r="Y180" s="131">
        <v>40</v>
      </c>
      <c r="Z180" s="131">
        <v>28.5</v>
      </c>
      <c r="AA180" s="131">
        <v>18.5</v>
      </c>
      <c r="AB180" s="131">
        <v>14</v>
      </c>
      <c r="AC180" s="131">
        <v>10.5</v>
      </c>
      <c r="AD180" s="131">
        <v>7.75</v>
      </c>
      <c r="AE180" s="131">
        <v>5.75</v>
      </c>
      <c r="AF180" s="131">
        <v>4.5</v>
      </c>
      <c r="AG180" s="131">
        <v>3.2</v>
      </c>
      <c r="AH180" s="131">
        <v>2.6</v>
      </c>
      <c r="AI180" s="131">
        <v>2.2999999999999998</v>
      </c>
      <c r="AJ180" s="131">
        <v>1.85</v>
      </c>
      <c r="AK180" s="131">
        <v>1.5</v>
      </c>
      <c r="AL180" s="131">
        <v>1.1499999999999999</v>
      </c>
      <c r="AM180" s="131">
        <v>1</v>
      </c>
      <c r="AN180" s="131">
        <v>0.8</v>
      </c>
      <c r="AO180" s="131">
        <v>0.7</v>
      </c>
      <c r="AP180" s="131">
        <v>0.6</v>
      </c>
      <c r="AQ180" s="131">
        <v>0.52500000000000002</v>
      </c>
      <c r="AR180" s="131">
        <v>0.42499999999999999</v>
      </c>
      <c r="AS180" s="131">
        <v>0.37</v>
      </c>
      <c r="AT180" s="131">
        <v>0.32</v>
      </c>
      <c r="AU180" s="131">
        <v>0.28999999999999998</v>
      </c>
      <c r="AV180" s="131">
        <v>0.23</v>
      </c>
      <c r="AW180" s="131">
        <v>0.2</v>
      </c>
      <c r="AX180" s="131">
        <v>0.185</v>
      </c>
      <c r="AY180" s="131">
        <v>0.16</v>
      </c>
      <c r="AZ180" s="131">
        <v>0.14000000000000001</v>
      </c>
      <c r="BA180" s="131">
        <v>0.105</v>
      </c>
      <c r="BB180" s="131"/>
      <c r="BC180" s="131"/>
      <c r="BD180" s="131"/>
      <c r="BE180" s="131"/>
      <c r="BF180" s="131"/>
      <c r="BG180" s="131"/>
      <c r="BH180" s="131"/>
      <c r="BI180" s="131"/>
      <c r="BJ180" s="131"/>
      <c r="BK180" s="131"/>
      <c r="BL180" s="131"/>
      <c r="BM180" s="131"/>
      <c r="BN180" s="131"/>
      <c r="BO180" s="131"/>
      <c r="BP180" s="131"/>
      <c r="BQ180" s="131"/>
      <c r="BR180" s="131"/>
      <c r="BS180" s="131"/>
      <c r="BT180" s="131"/>
      <c r="BU180" s="131"/>
      <c r="BV180" s="131"/>
      <c r="BW180" s="131"/>
      <c r="BX180" s="131"/>
      <c r="BY180" s="131"/>
      <c r="BZ180" s="131"/>
    </row>
    <row r="181" spans="2:78" s="128" customFormat="1" ht="10.5" hidden="1" x14ac:dyDescent="0.25">
      <c r="B181" s="138">
        <v>101</v>
      </c>
      <c r="C181" s="130">
        <v>2.9</v>
      </c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>
        <v>61</v>
      </c>
      <c r="Y181" s="131">
        <v>44</v>
      </c>
      <c r="Z181" s="131">
        <v>29</v>
      </c>
      <c r="AA181" s="131">
        <v>20</v>
      </c>
      <c r="AB181" s="131">
        <v>15</v>
      </c>
      <c r="AC181" s="131">
        <v>11</v>
      </c>
      <c r="AD181" s="131">
        <v>8.5</v>
      </c>
      <c r="AE181" s="131">
        <v>6.25</v>
      </c>
      <c r="AF181" s="131">
        <v>4.75</v>
      </c>
      <c r="AG181" s="131">
        <v>3.4</v>
      </c>
      <c r="AH181" s="131">
        <v>2.8</v>
      </c>
      <c r="AI181" s="131">
        <v>2.5</v>
      </c>
      <c r="AJ181" s="131">
        <v>2</v>
      </c>
      <c r="AK181" s="131">
        <v>1.6</v>
      </c>
      <c r="AL181" s="131">
        <v>1.25</v>
      </c>
      <c r="AM181" s="131">
        <v>1.1000000000000001</v>
      </c>
      <c r="AN181" s="131">
        <v>0.85</v>
      </c>
      <c r="AO181" s="131">
        <v>0.75</v>
      </c>
      <c r="AP181" s="131">
        <v>0.64</v>
      </c>
      <c r="AQ181" s="131">
        <v>0.55000000000000004</v>
      </c>
      <c r="AR181" s="131">
        <v>0.45</v>
      </c>
      <c r="AS181" s="131">
        <v>0.4</v>
      </c>
      <c r="AT181" s="131">
        <v>0.35</v>
      </c>
      <c r="AU181" s="131">
        <v>0.31</v>
      </c>
      <c r="AV181" s="131">
        <v>0.24</v>
      </c>
      <c r="AW181" s="131">
        <v>0.21</v>
      </c>
      <c r="AX181" s="131">
        <v>0.2</v>
      </c>
      <c r="AY181" s="131">
        <v>0.17</v>
      </c>
      <c r="AZ181" s="131">
        <v>0.15</v>
      </c>
      <c r="BA181" s="131">
        <v>0.11</v>
      </c>
      <c r="BB181" s="131"/>
      <c r="BC181" s="131"/>
      <c r="BD181" s="131"/>
      <c r="BE181" s="131"/>
      <c r="BF181" s="131"/>
      <c r="BG181" s="131"/>
      <c r="BH181" s="131"/>
      <c r="BI181" s="131"/>
      <c r="BJ181" s="131"/>
      <c r="BK181" s="131"/>
      <c r="BL181" s="131"/>
      <c r="BM181" s="131"/>
      <c r="BN181" s="131"/>
      <c r="BO181" s="131"/>
      <c r="BP181" s="131"/>
      <c r="BQ181" s="131"/>
      <c r="BR181" s="131"/>
      <c r="BS181" s="131"/>
      <c r="BT181" s="131"/>
      <c r="BU181" s="131"/>
      <c r="BV181" s="131"/>
      <c r="BW181" s="131"/>
      <c r="BX181" s="131"/>
      <c r="BY181" s="131"/>
      <c r="BZ181" s="131"/>
    </row>
    <row r="182" spans="2:78" s="128" customFormat="1" ht="10.5" hidden="1" x14ac:dyDescent="0.25">
      <c r="B182" s="138">
        <v>102</v>
      </c>
      <c r="C182" s="130">
        <v>3</v>
      </c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>
        <v>65</v>
      </c>
      <c r="Y182" s="131">
        <v>45</v>
      </c>
      <c r="Z182" s="131">
        <v>30</v>
      </c>
      <c r="AA182" s="131">
        <v>21</v>
      </c>
      <c r="AB182" s="131">
        <v>16</v>
      </c>
      <c r="AC182" s="131">
        <v>12</v>
      </c>
      <c r="AD182" s="131">
        <v>9</v>
      </c>
      <c r="AE182" s="131">
        <v>6.5</v>
      </c>
      <c r="AF182" s="131">
        <v>5</v>
      </c>
      <c r="AG182" s="131">
        <v>3.6</v>
      </c>
      <c r="AH182" s="131">
        <v>3</v>
      </c>
      <c r="AI182" s="131">
        <v>2.6</v>
      </c>
      <c r="AJ182" s="131">
        <v>2.1</v>
      </c>
      <c r="AK182" s="131">
        <v>1.7</v>
      </c>
      <c r="AL182" s="131">
        <v>0.13</v>
      </c>
      <c r="AM182" s="131">
        <v>1.1499999999999999</v>
      </c>
      <c r="AN182" s="131">
        <v>0.9</v>
      </c>
      <c r="AO182" s="131">
        <v>0.8</v>
      </c>
      <c r="AP182" s="131">
        <v>0.67500000000000004</v>
      </c>
      <c r="AQ182" s="131">
        <v>0.6</v>
      </c>
      <c r="AR182" s="131">
        <v>0.47499999999999998</v>
      </c>
      <c r="AS182" s="131">
        <v>0.42499999999999999</v>
      </c>
      <c r="AT182" s="131">
        <v>0.37</v>
      </c>
      <c r="AU182" s="131">
        <v>0.33</v>
      </c>
      <c r="AV182" s="131">
        <v>0.26</v>
      </c>
      <c r="AW182" s="131">
        <v>0.23</v>
      </c>
      <c r="AX182" s="131">
        <v>0.21</v>
      </c>
      <c r="AY182" s="131">
        <v>0.18</v>
      </c>
      <c r="AZ182" s="131">
        <v>0.155</v>
      </c>
      <c r="BA182" s="131">
        <v>0.12</v>
      </c>
      <c r="BB182" s="131">
        <v>0.1</v>
      </c>
      <c r="BC182" s="131"/>
      <c r="BD182" s="131"/>
      <c r="BE182" s="131"/>
      <c r="BF182" s="131"/>
      <c r="BG182" s="131"/>
      <c r="BH182" s="131"/>
      <c r="BI182" s="131"/>
      <c r="BJ182" s="131"/>
      <c r="BK182" s="131"/>
      <c r="BL182" s="131"/>
      <c r="BM182" s="131"/>
      <c r="BN182" s="131"/>
      <c r="BO182" s="131"/>
      <c r="BP182" s="131"/>
      <c r="BQ182" s="131"/>
      <c r="BR182" s="131"/>
      <c r="BS182" s="131"/>
      <c r="BT182" s="131"/>
      <c r="BU182" s="131"/>
      <c r="BV182" s="131"/>
      <c r="BW182" s="131"/>
      <c r="BX182" s="131"/>
      <c r="BY182" s="131"/>
      <c r="BZ182" s="131"/>
    </row>
    <row r="183" spans="2:78" s="128" customFormat="1" ht="10.5" hidden="1" x14ac:dyDescent="0.25">
      <c r="B183" s="138">
        <v>103</v>
      </c>
      <c r="C183" s="130">
        <v>3.2</v>
      </c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>
        <v>74</v>
      </c>
      <c r="Y183" s="131">
        <v>52.5</v>
      </c>
      <c r="Z183" s="131">
        <v>34</v>
      </c>
      <c r="AA183" s="131">
        <v>24</v>
      </c>
      <c r="AB183" s="131">
        <v>18</v>
      </c>
      <c r="AC183" s="131">
        <v>13</v>
      </c>
      <c r="AD183" s="131">
        <v>10.5</v>
      </c>
      <c r="AE183" s="131">
        <v>7.5</v>
      </c>
      <c r="AF183" s="131">
        <v>5.75</v>
      </c>
      <c r="AG183" s="131">
        <v>4</v>
      </c>
      <c r="AH183" s="131">
        <v>3.4</v>
      </c>
      <c r="AI183" s="131">
        <v>3</v>
      </c>
      <c r="AJ183" s="131">
        <v>2.4</v>
      </c>
      <c r="AK183" s="131">
        <v>1.9</v>
      </c>
      <c r="AL183" s="131">
        <v>1.5</v>
      </c>
      <c r="AM183" s="131">
        <v>1.3</v>
      </c>
      <c r="AN183" s="131">
        <v>1.05</v>
      </c>
      <c r="AO183" s="131">
        <v>0.9</v>
      </c>
      <c r="AP183" s="131">
        <v>0.75</v>
      </c>
      <c r="AQ183" s="131">
        <v>0.67500000000000004</v>
      </c>
      <c r="AR183" s="131">
        <v>0.55000000000000004</v>
      </c>
      <c r="AS183" s="131">
        <v>0.47499999999999998</v>
      </c>
      <c r="AT183" s="131">
        <v>0.4</v>
      </c>
      <c r="AU183" s="131">
        <v>0.37</v>
      </c>
      <c r="AV183" s="131">
        <v>0.3</v>
      </c>
      <c r="AW183" s="131">
        <v>0.26</v>
      </c>
      <c r="AX183" s="131">
        <v>0.24</v>
      </c>
      <c r="AY183" s="131">
        <v>0.2</v>
      </c>
      <c r="AZ183" s="131">
        <v>0.17499999999999999</v>
      </c>
      <c r="BA183" s="131">
        <v>0.13500000000000001</v>
      </c>
      <c r="BB183" s="131">
        <v>0.1125</v>
      </c>
      <c r="BC183" s="131"/>
      <c r="BD183" s="131"/>
      <c r="BE183" s="131"/>
      <c r="BF183" s="131"/>
      <c r="BG183" s="131"/>
      <c r="BH183" s="131"/>
      <c r="BI183" s="131"/>
      <c r="BJ183" s="131"/>
      <c r="BK183" s="131"/>
      <c r="BL183" s="131"/>
      <c r="BM183" s="131"/>
      <c r="BN183" s="131"/>
      <c r="BO183" s="131"/>
      <c r="BP183" s="131"/>
      <c r="BQ183" s="131"/>
      <c r="BR183" s="131"/>
      <c r="BS183" s="131"/>
      <c r="BT183" s="131"/>
      <c r="BU183" s="131"/>
      <c r="BV183" s="131"/>
      <c r="BW183" s="131"/>
      <c r="BX183" s="131"/>
      <c r="BY183" s="131"/>
      <c r="BZ183" s="131"/>
    </row>
    <row r="184" spans="2:78" s="128" customFormat="1" ht="10.5" hidden="1" x14ac:dyDescent="0.25">
      <c r="B184" s="138">
        <v>104</v>
      </c>
      <c r="C184" s="130">
        <v>3.4</v>
      </c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>
        <v>85</v>
      </c>
      <c r="Y184" s="131">
        <v>60</v>
      </c>
      <c r="Z184" s="131">
        <v>38</v>
      </c>
      <c r="AA184" s="131">
        <v>27</v>
      </c>
      <c r="AB184" s="131">
        <v>20</v>
      </c>
      <c r="AC184" s="131">
        <v>15</v>
      </c>
      <c r="AD184" s="131">
        <v>11.5</v>
      </c>
      <c r="AE184" s="131">
        <v>8.5</v>
      </c>
      <c r="AF184" s="131">
        <v>6.5</v>
      </c>
      <c r="AG184" s="131">
        <v>4.5</v>
      </c>
      <c r="AH184" s="131">
        <v>3.8</v>
      </c>
      <c r="AI184" s="131">
        <v>3.3</v>
      </c>
      <c r="AJ184" s="131">
        <v>2.7</v>
      </c>
      <c r="AK184" s="131">
        <v>2.2000000000000002</v>
      </c>
      <c r="AL184" s="131">
        <v>1.7</v>
      </c>
      <c r="AM184" s="131">
        <v>1.5</v>
      </c>
      <c r="AN184" s="131">
        <v>1.2</v>
      </c>
      <c r="AO184" s="131">
        <v>1</v>
      </c>
      <c r="AP184" s="131">
        <v>0.85</v>
      </c>
      <c r="AQ184" s="131">
        <v>0.75</v>
      </c>
      <c r="AR184" s="131">
        <v>0.6</v>
      </c>
      <c r="AS184" s="131">
        <v>0.55000000000000004</v>
      </c>
      <c r="AT184" s="131">
        <v>0.45</v>
      </c>
      <c r="AU184" s="131">
        <v>0.42499999999999999</v>
      </c>
      <c r="AV184" s="131">
        <v>0.33</v>
      </c>
      <c r="AW184" s="131">
        <v>0.28999999999999998</v>
      </c>
      <c r="AX184" s="131">
        <v>0.27</v>
      </c>
      <c r="AY184" s="131">
        <v>0.23</v>
      </c>
      <c r="AZ184" s="131">
        <v>0.2</v>
      </c>
      <c r="BA184" s="131">
        <v>0.15</v>
      </c>
      <c r="BB184" s="131">
        <v>0.125</v>
      </c>
      <c r="BC184" s="131">
        <v>0.1</v>
      </c>
      <c r="BD184" s="131"/>
      <c r="BE184" s="131"/>
      <c r="BF184" s="131"/>
      <c r="BG184" s="131"/>
      <c r="BH184" s="131"/>
      <c r="BI184" s="131"/>
      <c r="BJ184" s="131"/>
      <c r="BK184" s="131"/>
      <c r="BL184" s="131"/>
      <c r="BM184" s="131"/>
      <c r="BN184" s="131"/>
      <c r="BO184" s="131"/>
      <c r="BP184" s="131"/>
      <c r="BQ184" s="131"/>
      <c r="BR184" s="131"/>
      <c r="BS184" s="131"/>
      <c r="BT184" s="131"/>
      <c r="BU184" s="131"/>
      <c r="BV184" s="131"/>
      <c r="BW184" s="131"/>
      <c r="BX184" s="131"/>
      <c r="BY184" s="131"/>
      <c r="BZ184" s="131"/>
    </row>
    <row r="185" spans="2:78" s="128" customFormat="1" ht="10.5" hidden="1" x14ac:dyDescent="0.25">
      <c r="B185" s="138">
        <v>105</v>
      </c>
      <c r="C185" s="130">
        <v>3.6</v>
      </c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>
        <v>65</v>
      </c>
      <c r="Z185" s="131">
        <v>44</v>
      </c>
      <c r="AA185" s="131">
        <v>30</v>
      </c>
      <c r="AB185" s="131">
        <v>22</v>
      </c>
      <c r="AC185" s="131">
        <v>16.5</v>
      </c>
      <c r="AD185" s="131">
        <v>13</v>
      </c>
      <c r="AE185" s="131">
        <v>9.5</v>
      </c>
      <c r="AF185" s="131">
        <v>7</v>
      </c>
      <c r="AG185" s="131">
        <v>5</v>
      </c>
      <c r="AH185" s="131">
        <v>4.25</v>
      </c>
      <c r="AI185" s="131">
        <v>3.75</v>
      </c>
      <c r="AJ185" s="131">
        <v>3</v>
      </c>
      <c r="AK185" s="131">
        <v>2.5</v>
      </c>
      <c r="AL185" s="131">
        <v>1.9</v>
      </c>
      <c r="AM185" s="131">
        <v>1.65</v>
      </c>
      <c r="AN185" s="131">
        <v>1.35</v>
      </c>
      <c r="AO185" s="131">
        <v>1.1499999999999999</v>
      </c>
      <c r="AP185" s="131">
        <v>0.95</v>
      </c>
      <c r="AQ185" s="131">
        <v>0.85</v>
      </c>
      <c r="AR185" s="131">
        <v>0.67500000000000004</v>
      </c>
      <c r="AS185" s="131">
        <v>0.6</v>
      </c>
      <c r="AT185" s="131">
        <v>0.5</v>
      </c>
      <c r="AU185" s="131">
        <v>0.47499999999999998</v>
      </c>
      <c r="AV185" s="131">
        <v>0.36</v>
      </c>
      <c r="AW185" s="131">
        <v>0.32</v>
      </c>
      <c r="AX185" s="131">
        <v>0.3</v>
      </c>
      <c r="AY185" s="131">
        <v>0.25</v>
      </c>
      <c r="AZ185" s="131">
        <v>0.22</v>
      </c>
      <c r="BA185" s="131">
        <v>0.17</v>
      </c>
      <c r="BB185" s="131">
        <v>0.14000000000000001</v>
      </c>
      <c r="BC185" s="131">
        <v>0.1075</v>
      </c>
      <c r="BD185" s="131"/>
      <c r="BE185" s="131"/>
      <c r="BF185" s="131"/>
      <c r="BG185" s="131"/>
      <c r="BH185" s="131"/>
      <c r="BI185" s="131"/>
      <c r="BJ185" s="131"/>
      <c r="BK185" s="131"/>
      <c r="BL185" s="131"/>
      <c r="BM185" s="131"/>
      <c r="BN185" s="131"/>
      <c r="BO185" s="131"/>
      <c r="BP185" s="131"/>
      <c r="BQ185" s="131"/>
      <c r="BR185" s="131"/>
      <c r="BS185" s="131"/>
      <c r="BT185" s="131"/>
      <c r="BU185" s="131"/>
      <c r="BV185" s="131"/>
      <c r="BW185" s="131"/>
      <c r="BX185" s="131"/>
      <c r="BY185" s="131"/>
      <c r="BZ185" s="131"/>
    </row>
    <row r="186" spans="2:78" s="128" customFormat="1" ht="10.5" hidden="1" x14ac:dyDescent="0.25">
      <c r="B186" s="138">
        <v>106</v>
      </c>
      <c r="C186" s="130">
        <v>3.8</v>
      </c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>
        <v>74</v>
      </c>
      <c r="Z186" s="131">
        <v>50</v>
      </c>
      <c r="AA186" s="131">
        <v>34</v>
      </c>
      <c r="AB186" s="131">
        <v>25</v>
      </c>
      <c r="AC186" s="131">
        <v>18.5</v>
      </c>
      <c r="AD186" s="131">
        <v>14</v>
      </c>
      <c r="AE186" s="131">
        <v>10.5</v>
      </c>
      <c r="AF186" s="131">
        <v>8</v>
      </c>
      <c r="AG186" s="131">
        <v>5.5</v>
      </c>
      <c r="AH186" s="131">
        <v>4.75</v>
      </c>
      <c r="AI186" s="131">
        <v>4</v>
      </c>
      <c r="AJ186" s="131">
        <v>3.3</v>
      </c>
      <c r="AK186" s="131">
        <v>2.7</v>
      </c>
      <c r="AL186" s="131">
        <v>2.1</v>
      </c>
      <c r="AM186" s="131">
        <v>1.8</v>
      </c>
      <c r="AN186" s="131">
        <v>1.5</v>
      </c>
      <c r="AO186" s="131">
        <v>1.2749999999999999</v>
      </c>
      <c r="AP186" s="131">
        <v>1.05</v>
      </c>
      <c r="AQ186" s="131">
        <v>0.95</v>
      </c>
      <c r="AR186" s="131">
        <v>0.75</v>
      </c>
      <c r="AS186" s="131">
        <v>0.67500000000000004</v>
      </c>
      <c r="AT186" s="131">
        <v>0.57499999999999996</v>
      </c>
      <c r="AU186" s="131">
        <v>0.52500000000000002</v>
      </c>
      <c r="AV186" s="131">
        <v>0.4</v>
      </c>
      <c r="AW186" s="131">
        <v>0.36</v>
      </c>
      <c r="AX186" s="131">
        <v>0.34</v>
      </c>
      <c r="AY186" s="131">
        <v>0.28000000000000003</v>
      </c>
      <c r="AZ186" s="131">
        <v>0.25</v>
      </c>
      <c r="BA186" s="131">
        <v>0.185</v>
      </c>
      <c r="BB186" s="131">
        <v>0.15</v>
      </c>
      <c r="BC186" s="131">
        <v>0.12</v>
      </c>
      <c r="BD186" s="131">
        <v>0.1</v>
      </c>
      <c r="BE186" s="131"/>
      <c r="BF186" s="131"/>
      <c r="BG186" s="131"/>
      <c r="BH186" s="131"/>
      <c r="BI186" s="131"/>
      <c r="BJ186" s="131"/>
      <c r="BK186" s="131"/>
      <c r="BL186" s="131"/>
      <c r="BM186" s="131"/>
      <c r="BN186" s="131"/>
      <c r="BO186" s="131"/>
      <c r="BP186" s="131"/>
      <c r="BQ186" s="131"/>
      <c r="BR186" s="131"/>
      <c r="BS186" s="131"/>
      <c r="BT186" s="131"/>
      <c r="BU186" s="131"/>
      <c r="BV186" s="131"/>
      <c r="BW186" s="131"/>
      <c r="BX186" s="131"/>
      <c r="BY186" s="131"/>
      <c r="BZ186" s="131"/>
    </row>
    <row r="187" spans="2:78" s="128" customFormat="1" ht="10.5" hidden="1" x14ac:dyDescent="0.25">
      <c r="B187" s="138">
        <v>107</v>
      </c>
      <c r="C187" s="130">
        <v>4</v>
      </c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>
        <v>80</v>
      </c>
      <c r="Z187" s="131">
        <v>55</v>
      </c>
      <c r="AA187" s="131">
        <v>37</v>
      </c>
      <c r="AB187" s="131">
        <v>27</v>
      </c>
      <c r="AC187" s="131">
        <v>20</v>
      </c>
      <c r="AD187" s="131">
        <v>16</v>
      </c>
      <c r="AE187" s="131">
        <v>11.5</v>
      </c>
      <c r="AF187" s="131">
        <v>9</v>
      </c>
      <c r="AG187" s="131">
        <v>6</v>
      </c>
      <c r="AH187" s="131">
        <v>5</v>
      </c>
      <c r="AI187" s="131">
        <v>4.5</v>
      </c>
      <c r="AJ187" s="131">
        <v>3.7</v>
      </c>
      <c r="AK187" s="131">
        <v>3</v>
      </c>
      <c r="AL187" s="131">
        <v>2.2999999999999998</v>
      </c>
      <c r="AM187" s="131">
        <v>2</v>
      </c>
      <c r="AN187" s="131">
        <v>1.65</v>
      </c>
      <c r="AO187" s="131">
        <v>0.14000000000000001</v>
      </c>
      <c r="AP187" s="131">
        <v>1.2</v>
      </c>
      <c r="AQ187" s="131">
        <v>1</v>
      </c>
      <c r="AR187" s="131">
        <v>0.8</v>
      </c>
      <c r="AS187" s="131">
        <v>0.75</v>
      </c>
      <c r="AT187" s="131">
        <v>0.625</v>
      </c>
      <c r="AU187" s="131">
        <v>0.57499999999999996</v>
      </c>
      <c r="AV187" s="131">
        <v>0.45</v>
      </c>
      <c r="AW187" s="131">
        <v>0.4</v>
      </c>
      <c r="AX187" s="131">
        <v>0.36</v>
      </c>
      <c r="AY187" s="131">
        <v>0.3</v>
      </c>
      <c r="AZ187" s="131">
        <v>0.27500000000000002</v>
      </c>
      <c r="BA187" s="131">
        <v>0.21</v>
      </c>
      <c r="BB187" s="131">
        <v>0.16500000000000001</v>
      </c>
      <c r="BC187" s="131">
        <v>0.13</v>
      </c>
      <c r="BD187" s="131">
        <v>0.11</v>
      </c>
      <c r="BE187" s="131"/>
      <c r="BF187" s="131"/>
      <c r="BG187" s="131"/>
      <c r="BH187" s="131"/>
      <c r="BI187" s="131"/>
      <c r="BJ187" s="131"/>
      <c r="BK187" s="131"/>
      <c r="BL187" s="131"/>
      <c r="BM187" s="131"/>
      <c r="BN187" s="131"/>
      <c r="BO187" s="131"/>
      <c r="BP187" s="131"/>
      <c r="BQ187" s="131"/>
      <c r="BR187" s="131"/>
      <c r="BS187" s="131"/>
      <c r="BT187" s="131"/>
      <c r="BU187" s="131"/>
      <c r="BV187" s="131"/>
      <c r="BW187" s="131"/>
      <c r="BX187" s="131"/>
      <c r="BY187" s="131"/>
      <c r="BZ187" s="131"/>
    </row>
    <row r="188" spans="2:78" s="128" customFormat="1" ht="10.5" hidden="1" x14ac:dyDescent="0.25">
      <c r="B188" s="138">
        <v>108</v>
      </c>
      <c r="C188" s="130">
        <v>4.2</v>
      </c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>
        <v>60</v>
      </c>
      <c r="AA188" s="131">
        <v>40</v>
      </c>
      <c r="AB188" s="131">
        <v>30</v>
      </c>
      <c r="AC188" s="131">
        <v>22</v>
      </c>
      <c r="AD188" s="131">
        <v>17</v>
      </c>
      <c r="AE188" s="131">
        <v>12.5</v>
      </c>
      <c r="AF188" s="131">
        <v>9.5</v>
      </c>
      <c r="AG188" s="131">
        <v>6.5</v>
      </c>
      <c r="AH188" s="131">
        <v>5.5</v>
      </c>
      <c r="AI188" s="131">
        <v>5</v>
      </c>
      <c r="AJ188" s="131">
        <v>4</v>
      </c>
      <c r="AK188" s="131">
        <v>3.3</v>
      </c>
      <c r="AL188" s="131">
        <v>2.6</v>
      </c>
      <c r="AM188" s="131">
        <v>2.2000000000000002</v>
      </c>
      <c r="AN188" s="131">
        <v>1.8</v>
      </c>
      <c r="AO188" s="131">
        <v>1.5</v>
      </c>
      <c r="AP188" s="131">
        <v>1.3</v>
      </c>
      <c r="AQ188" s="131">
        <v>1.075</v>
      </c>
      <c r="AR188" s="131">
        <v>0.9</v>
      </c>
      <c r="AS188" s="131">
        <v>0.8</v>
      </c>
      <c r="AT188" s="131">
        <v>0.67500000000000004</v>
      </c>
      <c r="AU188" s="131">
        <v>0.625</v>
      </c>
      <c r="AV188" s="131">
        <v>0.5</v>
      </c>
      <c r="AW188" s="131">
        <v>0.44</v>
      </c>
      <c r="AX188" s="131">
        <v>0.4</v>
      </c>
      <c r="AY188" s="131">
        <v>0.33</v>
      </c>
      <c r="AZ188" s="131">
        <v>0.3</v>
      </c>
      <c r="BA188" s="131">
        <v>0.23</v>
      </c>
      <c r="BB188" s="131">
        <v>0.18</v>
      </c>
      <c r="BC188" s="131">
        <v>0.14000000000000001</v>
      </c>
      <c r="BD188" s="131">
        <v>0.12</v>
      </c>
      <c r="BE188" s="131"/>
      <c r="BF188" s="131"/>
      <c r="BG188" s="131"/>
      <c r="BH188" s="131"/>
      <c r="BI188" s="131"/>
      <c r="BJ188" s="131"/>
      <c r="BK188" s="131"/>
      <c r="BL188" s="131"/>
      <c r="BM188" s="131"/>
      <c r="BN188" s="131"/>
      <c r="BO188" s="131"/>
      <c r="BP188" s="131"/>
      <c r="BQ188" s="131"/>
      <c r="BR188" s="131"/>
      <c r="BS188" s="131"/>
      <c r="BT188" s="131"/>
      <c r="BU188" s="131"/>
      <c r="BV188" s="131"/>
      <c r="BW188" s="131"/>
      <c r="BX188" s="131"/>
      <c r="BY188" s="131"/>
      <c r="BZ188" s="131"/>
    </row>
    <row r="189" spans="2:78" s="128" customFormat="1" ht="10.5" hidden="1" x14ac:dyDescent="0.25">
      <c r="B189" s="138">
        <v>109</v>
      </c>
      <c r="C189" s="130">
        <v>4.4000000000000004</v>
      </c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>
        <v>65</v>
      </c>
      <c r="AA189" s="131">
        <v>44</v>
      </c>
      <c r="AB189" s="131">
        <v>32</v>
      </c>
      <c r="AC189" s="131">
        <v>24</v>
      </c>
      <c r="AD189" s="131">
        <v>19</v>
      </c>
      <c r="AE189" s="131">
        <v>14</v>
      </c>
      <c r="AF189" s="131">
        <v>10.5</v>
      </c>
      <c r="AG189" s="131">
        <v>7.25</v>
      </c>
      <c r="AH189" s="131">
        <v>6</v>
      </c>
      <c r="AI189" s="131">
        <v>5.25</v>
      </c>
      <c r="AJ189" s="131">
        <v>4.4000000000000004</v>
      </c>
      <c r="AK189" s="131">
        <v>3.6</v>
      </c>
      <c r="AL189" s="131">
        <v>2.8</v>
      </c>
      <c r="AM189" s="131">
        <v>2.4</v>
      </c>
      <c r="AN189" s="131">
        <v>2</v>
      </c>
      <c r="AO189" s="131">
        <v>1.65</v>
      </c>
      <c r="AP189" s="131">
        <v>1.4</v>
      </c>
      <c r="AQ189" s="131">
        <v>1.2</v>
      </c>
      <c r="AR189" s="131">
        <v>1</v>
      </c>
      <c r="AS189" s="131">
        <v>0.875</v>
      </c>
      <c r="AT189" s="131">
        <v>0.75</v>
      </c>
      <c r="AU189" s="131">
        <v>0.7</v>
      </c>
      <c r="AV189" s="131">
        <v>0.55000000000000004</v>
      </c>
      <c r="AW189" s="131">
        <v>0.48</v>
      </c>
      <c r="AX189" s="131">
        <v>0.44</v>
      </c>
      <c r="AY189" s="131">
        <v>0.36</v>
      </c>
      <c r="AZ189" s="131">
        <v>0.33</v>
      </c>
      <c r="BA189" s="131">
        <v>0.25</v>
      </c>
      <c r="BB189" s="131">
        <v>0.2</v>
      </c>
      <c r="BC189" s="131">
        <v>0.155</v>
      </c>
      <c r="BD189" s="131">
        <v>0.13</v>
      </c>
      <c r="BE189" s="131">
        <v>0.1</v>
      </c>
      <c r="BF189" s="131"/>
      <c r="BG189" s="131"/>
      <c r="BH189" s="131"/>
      <c r="BI189" s="131"/>
      <c r="BJ189" s="131"/>
      <c r="BK189" s="131"/>
      <c r="BL189" s="131"/>
      <c r="BM189" s="131"/>
      <c r="BN189" s="131"/>
      <c r="BO189" s="131"/>
      <c r="BP189" s="131"/>
      <c r="BQ189" s="131"/>
      <c r="BR189" s="131"/>
      <c r="BS189" s="131"/>
      <c r="BT189" s="131"/>
      <c r="BU189" s="131"/>
      <c r="BV189" s="131"/>
      <c r="BW189" s="131"/>
      <c r="BX189" s="131"/>
      <c r="BY189" s="131"/>
      <c r="BZ189" s="131"/>
    </row>
    <row r="190" spans="2:78" s="128" customFormat="1" ht="10.5" hidden="1" x14ac:dyDescent="0.25">
      <c r="B190" s="138">
        <v>110</v>
      </c>
      <c r="C190" s="130">
        <v>4.5999999999999996</v>
      </c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>
        <v>70</v>
      </c>
      <c r="AA190" s="131">
        <v>48</v>
      </c>
      <c r="AB190" s="131">
        <v>35</v>
      </c>
      <c r="AC190" s="131">
        <v>26</v>
      </c>
      <c r="AD190" s="131">
        <v>20.5</v>
      </c>
      <c r="AE190" s="131">
        <v>15</v>
      </c>
      <c r="AF190" s="131">
        <v>11.5</v>
      </c>
      <c r="AG190" s="131">
        <v>7.75</v>
      </c>
      <c r="AH190" s="131">
        <v>6.5</v>
      </c>
      <c r="AI190" s="131">
        <v>6</v>
      </c>
      <c r="AJ190" s="131">
        <v>4.75</v>
      </c>
      <c r="AK190" s="131">
        <v>4</v>
      </c>
      <c r="AL190" s="131">
        <v>3</v>
      </c>
      <c r="AM190" s="131">
        <v>2.6</v>
      </c>
      <c r="AN190" s="131">
        <v>2.1749999999999998</v>
      </c>
      <c r="AO190" s="131">
        <v>1.8</v>
      </c>
      <c r="AP190" s="131">
        <v>1.5</v>
      </c>
      <c r="AQ190" s="131">
        <v>1.3</v>
      </c>
      <c r="AR190" s="131">
        <v>1.1000000000000001</v>
      </c>
      <c r="AS190" s="131">
        <v>0.95</v>
      </c>
      <c r="AT190" s="131">
        <v>0.8</v>
      </c>
      <c r="AU190" s="131">
        <v>0.75</v>
      </c>
      <c r="AV190" s="131">
        <v>0.6</v>
      </c>
      <c r="AW190" s="131">
        <v>0.52500000000000002</v>
      </c>
      <c r="AX190" s="131">
        <v>0.47499999999999998</v>
      </c>
      <c r="AY190" s="131">
        <v>0.38</v>
      </c>
      <c r="AZ190" s="131">
        <v>0.36</v>
      </c>
      <c r="BA190" s="131">
        <v>0.27</v>
      </c>
      <c r="BB190" s="131">
        <v>0.21</v>
      </c>
      <c r="BC190" s="131">
        <v>0.17</v>
      </c>
      <c r="BD190" s="131">
        <v>0.14000000000000001</v>
      </c>
      <c r="BE190" s="131">
        <v>0.11</v>
      </c>
      <c r="BF190" s="131"/>
      <c r="BG190" s="131"/>
      <c r="BH190" s="131"/>
      <c r="BI190" s="131"/>
      <c r="BJ190" s="131"/>
      <c r="BK190" s="131"/>
      <c r="BL190" s="131"/>
      <c r="BM190" s="131"/>
      <c r="BN190" s="131"/>
      <c r="BO190" s="131"/>
      <c r="BP190" s="131"/>
      <c r="BQ190" s="131"/>
      <c r="BR190" s="131"/>
      <c r="BS190" s="131"/>
      <c r="BT190" s="131"/>
      <c r="BU190" s="131"/>
      <c r="BV190" s="131"/>
      <c r="BW190" s="131"/>
      <c r="BX190" s="131"/>
      <c r="BY190" s="131"/>
      <c r="BZ190" s="131"/>
    </row>
    <row r="191" spans="2:78" s="128" customFormat="1" ht="10.5" hidden="1" x14ac:dyDescent="0.25">
      <c r="B191" s="138">
        <v>111</v>
      </c>
      <c r="C191" s="130">
        <v>4.8</v>
      </c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>
        <v>75</v>
      </c>
      <c r="AA191" s="131">
        <v>52.5</v>
      </c>
      <c r="AB191" s="131">
        <v>38</v>
      </c>
      <c r="AC191" s="131">
        <v>28</v>
      </c>
      <c r="AD191" s="131">
        <v>23</v>
      </c>
      <c r="AE191" s="131">
        <v>16.5</v>
      </c>
      <c r="AF191" s="131">
        <v>12.5</v>
      </c>
      <c r="AG191" s="131">
        <v>8.5</v>
      </c>
      <c r="AH191" s="131">
        <v>7</v>
      </c>
      <c r="AI191" s="131">
        <v>6.5</v>
      </c>
      <c r="AJ191" s="131">
        <v>5.25</v>
      </c>
      <c r="AK191" s="131">
        <v>4.25</v>
      </c>
      <c r="AL191" s="131">
        <v>3.2</v>
      </c>
      <c r="AM191" s="131">
        <v>2.8</v>
      </c>
      <c r="AN191" s="131">
        <v>2.4</v>
      </c>
      <c r="AO191" s="131">
        <v>2</v>
      </c>
      <c r="AP191" s="131">
        <v>1.6</v>
      </c>
      <c r="AQ191" s="131">
        <v>1.4</v>
      </c>
      <c r="AR191" s="131">
        <v>1.2</v>
      </c>
      <c r="AS191" s="131">
        <v>1.05</v>
      </c>
      <c r="AT191" s="131">
        <v>0.875</v>
      </c>
      <c r="AU191" s="131">
        <v>0.8</v>
      </c>
      <c r="AV191" s="131">
        <v>0.65</v>
      </c>
      <c r="AW191" s="131">
        <v>0.57499999999999996</v>
      </c>
      <c r="AX191" s="131">
        <v>0.5</v>
      </c>
      <c r="AY191" s="131">
        <v>0.4</v>
      </c>
      <c r="AZ191" s="131">
        <v>0.38</v>
      </c>
      <c r="BA191" s="131">
        <v>0.3</v>
      </c>
      <c r="BB191" s="131">
        <v>0.23</v>
      </c>
      <c r="BC191" s="131">
        <v>0.185</v>
      </c>
      <c r="BD191" s="131">
        <v>0.15</v>
      </c>
      <c r="BE191" s="131">
        <v>0.12</v>
      </c>
      <c r="BF191" s="131">
        <v>0.1</v>
      </c>
      <c r="BG191" s="131"/>
      <c r="BH191" s="131"/>
      <c r="BI191" s="131"/>
      <c r="BJ191" s="131"/>
      <c r="BK191" s="131"/>
      <c r="BL191" s="131"/>
      <c r="BM191" s="131"/>
      <c r="BN191" s="131"/>
      <c r="BO191" s="131"/>
      <c r="BP191" s="131"/>
      <c r="BQ191" s="131"/>
      <c r="BR191" s="131"/>
      <c r="BS191" s="131"/>
      <c r="BT191" s="131"/>
      <c r="BU191" s="131"/>
      <c r="BV191" s="131"/>
      <c r="BW191" s="131"/>
      <c r="BX191" s="131"/>
      <c r="BY191" s="131"/>
      <c r="BZ191" s="131"/>
    </row>
    <row r="192" spans="2:78" s="128" customFormat="1" ht="10.5" hidden="1" x14ac:dyDescent="0.25">
      <c r="B192" s="138">
        <v>112</v>
      </c>
      <c r="C192" s="130">
        <v>5</v>
      </c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>
        <v>80</v>
      </c>
      <c r="AA192" s="131">
        <v>55</v>
      </c>
      <c r="AB192" s="131">
        <v>40</v>
      </c>
      <c r="AC192" s="131">
        <v>30</v>
      </c>
      <c r="AD192" s="131">
        <v>24</v>
      </c>
      <c r="AE192" s="131">
        <v>18</v>
      </c>
      <c r="AF192" s="131">
        <v>13.5</v>
      </c>
      <c r="AG192" s="131">
        <v>9.25</v>
      </c>
      <c r="AH192" s="131">
        <v>7.5</v>
      </c>
      <c r="AI192" s="131">
        <v>7</v>
      </c>
      <c r="AJ192" s="131">
        <v>5.5</v>
      </c>
      <c r="AK192" s="131">
        <v>4.5</v>
      </c>
      <c r="AL192" s="131">
        <v>3.6</v>
      </c>
      <c r="AM192" s="131">
        <v>3</v>
      </c>
      <c r="AN192" s="131">
        <v>2.6</v>
      </c>
      <c r="AO192" s="131">
        <v>2.2000000000000002</v>
      </c>
      <c r="AP192" s="131">
        <v>1.7</v>
      </c>
      <c r="AQ192" s="131">
        <v>1.5</v>
      </c>
      <c r="AR192" s="131">
        <v>1.3</v>
      </c>
      <c r="AS192" s="131">
        <v>1.1000000000000001</v>
      </c>
      <c r="AT192" s="131">
        <v>0.95</v>
      </c>
      <c r="AU192" s="131">
        <v>0.85</v>
      </c>
      <c r="AV192" s="131">
        <v>0.7</v>
      </c>
      <c r="AW192" s="131">
        <v>0.6</v>
      </c>
      <c r="AX192" s="131">
        <v>0.54</v>
      </c>
      <c r="AY192" s="131">
        <v>0.45</v>
      </c>
      <c r="AZ192" s="131">
        <v>0.4</v>
      </c>
      <c r="BA192" s="131">
        <v>0.32</v>
      </c>
      <c r="BB192" s="131">
        <v>0.25</v>
      </c>
      <c r="BC192" s="131">
        <v>0.2</v>
      </c>
      <c r="BD192" s="131">
        <v>0.16500000000000001</v>
      </c>
      <c r="BE192" s="131">
        <v>0.13</v>
      </c>
      <c r="BF192" s="131">
        <v>0.11</v>
      </c>
      <c r="BG192" s="131"/>
      <c r="BH192" s="131"/>
      <c r="BI192" s="131"/>
      <c r="BJ192" s="131"/>
      <c r="BK192" s="131"/>
      <c r="BL192" s="131"/>
      <c r="BM192" s="131"/>
      <c r="BN192" s="131"/>
      <c r="BO192" s="131"/>
      <c r="BP192" s="131"/>
      <c r="BQ192" s="131"/>
      <c r="BR192" s="131"/>
      <c r="BS192" s="131"/>
      <c r="BT192" s="131"/>
      <c r="BU192" s="131"/>
      <c r="BV192" s="131"/>
      <c r="BW192" s="131"/>
      <c r="BX192" s="131"/>
      <c r="BY192" s="131"/>
      <c r="BZ192" s="131"/>
    </row>
    <row r="193" spans="2:78" s="128" customFormat="1" ht="10.5" hidden="1" x14ac:dyDescent="0.25">
      <c r="B193" s="138">
        <v>113</v>
      </c>
      <c r="C193" s="130">
        <v>5.2</v>
      </c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  <c r="AA193" s="131">
        <v>60</v>
      </c>
      <c r="AB193" s="131">
        <v>43</v>
      </c>
      <c r="AC193" s="131">
        <v>32</v>
      </c>
      <c r="AD193" s="131">
        <v>26</v>
      </c>
      <c r="AE193" s="131">
        <v>19</v>
      </c>
      <c r="AF193" s="131">
        <v>15</v>
      </c>
      <c r="AG193" s="131">
        <v>10</v>
      </c>
      <c r="AH193" s="131">
        <v>8.25</v>
      </c>
      <c r="AI193" s="131">
        <v>7.5</v>
      </c>
      <c r="AJ193" s="131">
        <v>6</v>
      </c>
      <c r="AK193" s="131">
        <v>4.75</v>
      </c>
      <c r="AL193" s="131">
        <v>3.8</v>
      </c>
      <c r="AM193" s="131">
        <v>3.2</v>
      </c>
      <c r="AN193" s="131">
        <v>2.8</v>
      </c>
      <c r="AO193" s="131">
        <v>2.4</v>
      </c>
      <c r="AP193" s="131">
        <v>1.9</v>
      </c>
      <c r="AQ193" s="131">
        <v>1.65</v>
      </c>
      <c r="AR193" s="131">
        <v>1.4</v>
      </c>
      <c r="AS193" s="131">
        <v>1.2</v>
      </c>
      <c r="AT193" s="131">
        <v>1.05</v>
      </c>
      <c r="AU193" s="131">
        <v>0.95</v>
      </c>
      <c r="AV193" s="131">
        <v>0.75</v>
      </c>
      <c r="AW193" s="131">
        <v>0.65</v>
      </c>
      <c r="AX193" s="131">
        <v>0.57999999999999996</v>
      </c>
      <c r="AY193" s="131">
        <v>0.5</v>
      </c>
      <c r="AZ193" s="131">
        <v>0.45</v>
      </c>
      <c r="BA193" s="131">
        <v>0.35</v>
      </c>
      <c r="BB193" s="131">
        <v>0.27500000000000002</v>
      </c>
      <c r="BC193" s="131">
        <v>0.21</v>
      </c>
      <c r="BD193" s="131">
        <v>0.17499999999999999</v>
      </c>
      <c r="BE193" s="131">
        <v>0.14000000000000001</v>
      </c>
      <c r="BF193" s="131">
        <v>0.12</v>
      </c>
      <c r="BG193" s="131"/>
      <c r="BH193" s="131"/>
      <c r="BI193" s="131"/>
      <c r="BJ193" s="131"/>
      <c r="BK193" s="131"/>
      <c r="BL193" s="131"/>
      <c r="BM193" s="131"/>
      <c r="BN193" s="131"/>
      <c r="BO193" s="131"/>
      <c r="BP193" s="131"/>
      <c r="BQ193" s="131"/>
      <c r="BR193" s="131"/>
      <c r="BS193" s="131"/>
      <c r="BT193" s="131"/>
      <c r="BU193" s="131"/>
      <c r="BV193" s="131"/>
      <c r="BW193" s="131"/>
      <c r="BX193" s="131"/>
      <c r="BY193" s="131"/>
      <c r="BZ193" s="131"/>
    </row>
    <row r="194" spans="2:78" s="128" customFormat="1" ht="10.5" hidden="1" x14ac:dyDescent="0.25">
      <c r="B194" s="138">
        <v>114</v>
      </c>
      <c r="C194" s="130">
        <v>5.4</v>
      </c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>
        <v>66</v>
      </c>
      <c r="AB194" s="131">
        <v>47</v>
      </c>
      <c r="AC194" s="131">
        <v>35</v>
      </c>
      <c r="AD194" s="131">
        <v>28</v>
      </c>
      <c r="AE194" s="131">
        <v>21</v>
      </c>
      <c r="AF194" s="131">
        <v>16.5</v>
      </c>
      <c r="AG194" s="131">
        <v>11</v>
      </c>
      <c r="AH194" s="131">
        <v>9</v>
      </c>
      <c r="AI194" s="131">
        <v>8</v>
      </c>
      <c r="AJ194" s="131">
        <v>6.5</v>
      </c>
      <c r="AK194" s="131">
        <v>5.25</v>
      </c>
      <c r="AL194" s="131">
        <v>4.25</v>
      </c>
      <c r="AM194" s="131">
        <v>3.5</v>
      </c>
      <c r="AN194" s="131">
        <v>3</v>
      </c>
      <c r="AO194" s="131">
        <v>2.6</v>
      </c>
      <c r="AP194" s="131">
        <v>2.1</v>
      </c>
      <c r="AQ194" s="131">
        <v>1.8</v>
      </c>
      <c r="AR194" s="131">
        <v>1.5</v>
      </c>
      <c r="AS194" s="131">
        <v>1.3</v>
      </c>
      <c r="AT194" s="131">
        <v>1.1000000000000001</v>
      </c>
      <c r="AU194" s="131">
        <v>1</v>
      </c>
      <c r="AV194" s="131">
        <v>0.82499999999999996</v>
      </c>
      <c r="AW194" s="131">
        <v>0.7</v>
      </c>
      <c r="AX194" s="131">
        <v>0.625</v>
      </c>
      <c r="AY194" s="131">
        <v>0.55000000000000004</v>
      </c>
      <c r="AZ194" s="131">
        <v>0.47499999999999998</v>
      </c>
      <c r="BA194" s="131">
        <v>0.38</v>
      </c>
      <c r="BB194" s="131">
        <v>0.29499999999999998</v>
      </c>
      <c r="BC194" s="131">
        <v>0.24</v>
      </c>
      <c r="BD194" s="131">
        <v>0.19</v>
      </c>
      <c r="BE194" s="131">
        <v>0.15</v>
      </c>
      <c r="BF194" s="131">
        <v>0.13</v>
      </c>
      <c r="BG194" s="131">
        <v>0.1</v>
      </c>
      <c r="BH194" s="131"/>
      <c r="BI194" s="131"/>
      <c r="BJ194" s="131"/>
      <c r="BK194" s="131"/>
      <c r="BL194" s="131"/>
      <c r="BM194" s="131"/>
      <c r="BN194" s="131"/>
      <c r="BO194" s="131"/>
      <c r="BP194" s="131"/>
      <c r="BQ194" s="131"/>
      <c r="BR194" s="131"/>
      <c r="BS194" s="131"/>
      <c r="BT194" s="131"/>
      <c r="BU194" s="131"/>
      <c r="BV194" s="131"/>
      <c r="BW194" s="131"/>
      <c r="BX194" s="131"/>
      <c r="BY194" s="131"/>
      <c r="BZ194" s="131"/>
    </row>
    <row r="195" spans="2:78" s="128" customFormat="1" ht="10.5" hidden="1" x14ac:dyDescent="0.25">
      <c r="B195" s="138">
        <v>115</v>
      </c>
      <c r="C195" s="130">
        <v>5.6</v>
      </c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  <c r="AA195" s="131">
        <v>70</v>
      </c>
      <c r="AB195" s="131">
        <v>50</v>
      </c>
      <c r="AC195" s="131">
        <v>38</v>
      </c>
      <c r="AD195" s="131">
        <v>30</v>
      </c>
      <c r="AE195" s="131">
        <v>22</v>
      </c>
      <c r="AF195" s="131">
        <v>17.5</v>
      </c>
      <c r="AG195" s="131">
        <v>12</v>
      </c>
      <c r="AH195" s="131">
        <v>9.5</v>
      </c>
      <c r="AI195" s="131">
        <v>8.75</v>
      </c>
      <c r="AJ195" s="131">
        <v>7</v>
      </c>
      <c r="AK195" s="131">
        <v>5.75</v>
      </c>
      <c r="AL195" s="131">
        <v>4.5</v>
      </c>
      <c r="AM195" s="131">
        <v>3.8</v>
      </c>
      <c r="AN195" s="131">
        <v>3.2</v>
      </c>
      <c r="AO195" s="131">
        <v>2.7</v>
      </c>
      <c r="AP195" s="131">
        <v>2.2000000000000002</v>
      </c>
      <c r="AQ195" s="131">
        <v>1.9</v>
      </c>
      <c r="AR195" s="131">
        <v>1.6</v>
      </c>
      <c r="AS195" s="131">
        <v>1.4</v>
      </c>
      <c r="AT195" s="131">
        <v>1.2</v>
      </c>
      <c r="AU195" s="131">
        <v>1.05</v>
      </c>
      <c r="AV195" s="131">
        <v>0.9</v>
      </c>
      <c r="AW195" s="131">
        <v>0.75</v>
      </c>
      <c r="AX195" s="131">
        <v>0.67500000000000004</v>
      </c>
      <c r="AY195" s="131">
        <v>0.6</v>
      </c>
      <c r="AZ195" s="131">
        <v>0.52500000000000002</v>
      </c>
      <c r="BA195" s="131">
        <v>0.4</v>
      </c>
      <c r="BB195" s="131">
        <v>0.31</v>
      </c>
      <c r="BC195" s="131">
        <v>0.25</v>
      </c>
      <c r="BD195" s="131">
        <v>0.2</v>
      </c>
      <c r="BE195" s="131">
        <v>0.16</v>
      </c>
      <c r="BF195" s="131">
        <v>0.13500000000000001</v>
      </c>
      <c r="BG195" s="131">
        <v>0.11</v>
      </c>
      <c r="BH195" s="131"/>
      <c r="BI195" s="131"/>
      <c r="BJ195" s="131"/>
      <c r="BK195" s="131"/>
      <c r="BL195" s="131"/>
      <c r="BM195" s="131"/>
      <c r="BN195" s="131"/>
      <c r="BO195" s="131"/>
      <c r="BP195" s="131"/>
      <c r="BQ195" s="131"/>
      <c r="BR195" s="131"/>
      <c r="BS195" s="131"/>
      <c r="BT195" s="131"/>
      <c r="BU195" s="131"/>
      <c r="BV195" s="131"/>
      <c r="BW195" s="131"/>
      <c r="BX195" s="131"/>
      <c r="BY195" s="131"/>
      <c r="BZ195" s="131"/>
    </row>
    <row r="196" spans="2:78" s="128" customFormat="1" ht="10.5" hidden="1" x14ac:dyDescent="0.25">
      <c r="B196" s="138">
        <v>116</v>
      </c>
      <c r="C196" s="130">
        <v>5.8</v>
      </c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  <c r="AA196" s="131">
        <v>75</v>
      </c>
      <c r="AB196" s="131">
        <v>55</v>
      </c>
      <c r="AC196" s="131">
        <v>40</v>
      </c>
      <c r="AD196" s="131">
        <v>32</v>
      </c>
      <c r="AE196" s="131">
        <v>24</v>
      </c>
      <c r="AF196" s="131">
        <v>19</v>
      </c>
      <c r="AG196" s="131">
        <v>13</v>
      </c>
      <c r="AH196" s="131">
        <v>10.25</v>
      </c>
      <c r="AI196" s="131">
        <v>9.5</v>
      </c>
      <c r="AJ196" s="131">
        <v>7.5</v>
      </c>
      <c r="AK196" s="131">
        <v>6</v>
      </c>
      <c r="AL196" s="131">
        <v>4.75</v>
      </c>
      <c r="AM196" s="131">
        <v>4</v>
      </c>
      <c r="AN196" s="131">
        <v>3.4</v>
      </c>
      <c r="AO196" s="131">
        <v>2.9</v>
      </c>
      <c r="AP196" s="131">
        <v>2.4</v>
      </c>
      <c r="AQ196" s="131">
        <v>2</v>
      </c>
      <c r="AR196" s="131">
        <v>1.7</v>
      </c>
      <c r="AS196" s="131">
        <v>1.5</v>
      </c>
      <c r="AT196" s="131">
        <v>1.3</v>
      </c>
      <c r="AU196" s="131">
        <v>1.1499999999999999</v>
      </c>
      <c r="AV196" s="131">
        <v>0.95</v>
      </c>
      <c r="AW196" s="131">
        <v>0.8</v>
      </c>
      <c r="AX196" s="131">
        <v>0.72499999999999998</v>
      </c>
      <c r="AY196" s="131">
        <v>0.65</v>
      </c>
      <c r="AZ196" s="131">
        <v>0.55000000000000004</v>
      </c>
      <c r="BA196" s="131">
        <v>0.42499999999999999</v>
      </c>
      <c r="BB196" s="131">
        <v>0.34</v>
      </c>
      <c r="BC196" s="131">
        <v>0.27</v>
      </c>
      <c r="BD196" s="131">
        <v>0.22</v>
      </c>
      <c r="BE196" s="131">
        <v>0.17</v>
      </c>
      <c r="BF196" s="131">
        <v>0.14499999999999999</v>
      </c>
      <c r="BG196" s="131">
        <v>0.115</v>
      </c>
      <c r="BH196" s="131">
        <v>0.1</v>
      </c>
      <c r="BI196" s="131"/>
      <c r="BJ196" s="131"/>
      <c r="BK196" s="131"/>
      <c r="BL196" s="131"/>
      <c r="BM196" s="131"/>
      <c r="BN196" s="131"/>
      <c r="BO196" s="131"/>
      <c r="BP196" s="131"/>
      <c r="BQ196" s="131"/>
      <c r="BR196" s="131"/>
      <c r="BS196" s="131"/>
      <c r="BT196" s="131"/>
      <c r="BU196" s="131"/>
      <c r="BV196" s="131"/>
      <c r="BW196" s="131"/>
      <c r="BX196" s="131"/>
      <c r="BY196" s="131"/>
      <c r="BZ196" s="131"/>
    </row>
    <row r="197" spans="2:78" s="128" customFormat="1" ht="10.5" hidden="1" x14ac:dyDescent="0.25">
      <c r="B197" s="138">
        <v>117</v>
      </c>
      <c r="C197" s="130">
        <v>6</v>
      </c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  <c r="AA197" s="131">
        <v>80</v>
      </c>
      <c r="AB197" s="131">
        <v>60</v>
      </c>
      <c r="AC197" s="131">
        <v>42.5</v>
      </c>
      <c r="AD197" s="131">
        <v>34</v>
      </c>
      <c r="AE197" s="131">
        <v>25</v>
      </c>
      <c r="AF197" s="131">
        <v>20</v>
      </c>
      <c r="AG197" s="131">
        <v>14</v>
      </c>
      <c r="AH197" s="131">
        <v>11</v>
      </c>
      <c r="AI197" s="131">
        <v>10</v>
      </c>
      <c r="AJ197" s="131">
        <v>8</v>
      </c>
      <c r="AK197" s="131">
        <v>6.5</v>
      </c>
      <c r="AL197" s="131">
        <v>5</v>
      </c>
      <c r="AM197" s="131">
        <v>4.25</v>
      </c>
      <c r="AN197" s="131">
        <v>3.6</v>
      </c>
      <c r="AO197" s="131">
        <v>3.1</v>
      </c>
      <c r="AP197" s="131">
        <v>2.6</v>
      </c>
      <c r="AQ197" s="131">
        <v>2.2000000000000002</v>
      </c>
      <c r="AR197" s="131">
        <v>1.8</v>
      </c>
      <c r="AS197" s="131">
        <v>1.6</v>
      </c>
      <c r="AT197" s="131">
        <v>1.4</v>
      </c>
      <c r="AU197" s="131">
        <v>1.25</v>
      </c>
      <c r="AV197" s="131">
        <v>1</v>
      </c>
      <c r="AW197" s="131">
        <v>0.85</v>
      </c>
      <c r="AX197" s="131">
        <v>0.75</v>
      </c>
      <c r="AY197" s="131">
        <v>0.7</v>
      </c>
      <c r="AZ197" s="131">
        <v>0.6</v>
      </c>
      <c r="BA197" s="131">
        <v>0.45</v>
      </c>
      <c r="BB197" s="131">
        <v>0.35</v>
      </c>
      <c r="BC197" s="131">
        <v>0.28000000000000003</v>
      </c>
      <c r="BD197" s="131">
        <v>0.23</v>
      </c>
      <c r="BE197" s="131">
        <v>0.18</v>
      </c>
      <c r="BF197" s="131">
        <v>0.15</v>
      </c>
      <c r="BG197" s="131">
        <v>0.12</v>
      </c>
      <c r="BH197" s="131">
        <v>0.105</v>
      </c>
      <c r="BI197" s="131"/>
      <c r="BJ197" s="131"/>
      <c r="BK197" s="131"/>
      <c r="BL197" s="131"/>
      <c r="BM197" s="131"/>
      <c r="BN197" s="131"/>
      <c r="BO197" s="131"/>
      <c r="BP197" s="131"/>
      <c r="BQ197" s="131"/>
      <c r="BR197" s="131"/>
      <c r="BS197" s="131"/>
      <c r="BT197" s="131"/>
      <c r="BU197" s="131"/>
      <c r="BV197" s="131"/>
      <c r="BW197" s="131"/>
      <c r="BX197" s="131"/>
      <c r="BY197" s="131"/>
      <c r="BZ197" s="131"/>
    </row>
    <row r="198" spans="2:78" s="128" customFormat="1" ht="10.5" hidden="1" x14ac:dyDescent="0.25">
      <c r="B198" s="138">
        <v>118</v>
      </c>
      <c r="C198" s="130">
        <v>6.5</v>
      </c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  <c r="AA198" s="131"/>
      <c r="AB198" s="131">
        <v>70</v>
      </c>
      <c r="AC198" s="131">
        <v>50</v>
      </c>
      <c r="AD198" s="131">
        <v>40</v>
      </c>
      <c r="AE198" s="131">
        <v>30</v>
      </c>
      <c r="AF198" s="131">
        <v>23</v>
      </c>
      <c r="AG198" s="131">
        <v>16.5</v>
      </c>
      <c r="AH198" s="131">
        <v>12.5</v>
      </c>
      <c r="AI198" s="131">
        <v>11.75</v>
      </c>
      <c r="AJ198" s="131">
        <v>9.5</v>
      </c>
      <c r="AK198" s="131">
        <v>7.5</v>
      </c>
      <c r="AL198" s="131">
        <v>6</v>
      </c>
      <c r="AM198" s="131">
        <v>5</v>
      </c>
      <c r="AN198" s="131">
        <v>4.25</v>
      </c>
      <c r="AO198" s="131">
        <v>3.6</v>
      </c>
      <c r="AP198" s="131">
        <v>3</v>
      </c>
      <c r="AQ198" s="131">
        <v>2.6</v>
      </c>
      <c r="AR198" s="131">
        <v>2.1</v>
      </c>
      <c r="AS198" s="131">
        <v>1.9</v>
      </c>
      <c r="AT198" s="131">
        <v>1.6</v>
      </c>
      <c r="AU198" s="131">
        <v>1.5</v>
      </c>
      <c r="AV198" s="131">
        <v>1.2</v>
      </c>
      <c r="AW198" s="131">
        <v>1</v>
      </c>
      <c r="AX198" s="131">
        <v>0.9</v>
      </c>
      <c r="AY198" s="131">
        <v>0.8</v>
      </c>
      <c r="AZ198" s="131">
        <v>0.7</v>
      </c>
      <c r="BA198" s="131">
        <v>0.52500000000000002</v>
      </c>
      <c r="BB198" s="131">
        <v>0.41</v>
      </c>
      <c r="BC198" s="131">
        <v>0.33</v>
      </c>
      <c r="BD198" s="131">
        <v>0.26500000000000001</v>
      </c>
      <c r="BE198" s="131">
        <v>0.21</v>
      </c>
      <c r="BF198" s="131">
        <v>0.155</v>
      </c>
      <c r="BG198" s="131">
        <v>0.14499999999999999</v>
      </c>
      <c r="BH198" s="131">
        <v>0.12</v>
      </c>
      <c r="BI198" s="131">
        <v>0.1</v>
      </c>
      <c r="BJ198" s="131"/>
      <c r="BK198" s="131"/>
      <c r="BL198" s="131"/>
      <c r="BM198" s="131"/>
      <c r="BN198" s="131"/>
      <c r="BO198" s="131"/>
      <c r="BP198" s="131"/>
      <c r="BQ198" s="131"/>
      <c r="BR198" s="131"/>
      <c r="BS198" s="131"/>
      <c r="BT198" s="131"/>
      <c r="BU198" s="131"/>
      <c r="BV198" s="131"/>
      <c r="BW198" s="131"/>
      <c r="BX198" s="131"/>
      <c r="BY198" s="131"/>
      <c r="BZ198" s="131"/>
    </row>
    <row r="199" spans="2:78" s="128" customFormat="1" ht="10.5" hidden="1" x14ac:dyDescent="0.25">
      <c r="B199" s="138">
        <v>119</v>
      </c>
      <c r="C199" s="130">
        <v>7</v>
      </c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131"/>
      <c r="AB199" s="131">
        <v>80</v>
      </c>
      <c r="AC199" s="131">
        <v>59</v>
      </c>
      <c r="AD199" s="131">
        <v>46</v>
      </c>
      <c r="AE199" s="131">
        <v>34</v>
      </c>
      <c r="AF199" s="131">
        <v>27</v>
      </c>
      <c r="AG199" s="131">
        <v>18.5</v>
      </c>
      <c r="AH199" s="131">
        <v>15</v>
      </c>
      <c r="AI199" s="131">
        <v>13.5</v>
      </c>
      <c r="AJ199" s="131">
        <v>11</v>
      </c>
      <c r="AK199" s="131">
        <v>8.5</v>
      </c>
      <c r="AL199" s="131">
        <v>7</v>
      </c>
      <c r="AM199" s="131">
        <v>5.75</v>
      </c>
      <c r="AN199" s="131">
        <v>5</v>
      </c>
      <c r="AO199" s="131">
        <v>4.25</v>
      </c>
      <c r="AP199" s="131">
        <v>3.4</v>
      </c>
      <c r="AQ199" s="131">
        <v>3</v>
      </c>
      <c r="AR199" s="131">
        <v>2.5</v>
      </c>
      <c r="AS199" s="131">
        <v>2.2000000000000002</v>
      </c>
      <c r="AT199" s="131">
        <v>1.85</v>
      </c>
      <c r="AU199" s="131">
        <v>1.7</v>
      </c>
      <c r="AV199" s="131">
        <v>1.4</v>
      </c>
      <c r="AW199" s="131">
        <v>1.1499999999999999</v>
      </c>
      <c r="AX199" s="131">
        <v>1</v>
      </c>
      <c r="AY199" s="131">
        <v>0.95</v>
      </c>
      <c r="AZ199" s="131">
        <v>0.8</v>
      </c>
      <c r="BA199" s="131">
        <v>0.6</v>
      </c>
      <c r="BB199" s="131">
        <v>0.47499999999999998</v>
      </c>
      <c r="BC199" s="131">
        <v>0.38</v>
      </c>
      <c r="BD199" s="131">
        <v>0.31</v>
      </c>
      <c r="BE199" s="131">
        <v>0.24</v>
      </c>
      <c r="BF199" s="131">
        <v>0.2</v>
      </c>
      <c r="BG199" s="131">
        <v>0.17</v>
      </c>
      <c r="BH199" s="131">
        <v>0.15</v>
      </c>
      <c r="BI199" s="131">
        <v>0.115</v>
      </c>
      <c r="BJ199" s="131">
        <v>0.1</v>
      </c>
      <c r="BK199" s="131"/>
      <c r="BL199" s="131"/>
      <c r="BM199" s="131"/>
      <c r="BN199" s="131"/>
      <c r="BO199" s="131"/>
      <c r="BP199" s="131"/>
      <c r="BQ199" s="131"/>
      <c r="BR199" s="131"/>
      <c r="BS199" s="131"/>
      <c r="BT199" s="131"/>
      <c r="BU199" s="131"/>
      <c r="BV199" s="131"/>
      <c r="BW199" s="131"/>
      <c r="BX199" s="131"/>
      <c r="BY199" s="131"/>
      <c r="BZ199" s="131"/>
    </row>
    <row r="200" spans="2:78" s="128" customFormat="1" ht="10.5" hidden="1" x14ac:dyDescent="0.25">
      <c r="B200" s="138">
        <v>120</v>
      </c>
      <c r="C200" s="130">
        <v>7.5</v>
      </c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  <c r="AA200" s="131"/>
      <c r="AB200" s="131"/>
      <c r="AC200" s="131">
        <v>67</v>
      </c>
      <c r="AD200" s="131">
        <v>52.5</v>
      </c>
      <c r="AE200" s="131">
        <v>39</v>
      </c>
      <c r="AF200" s="131">
        <v>30</v>
      </c>
      <c r="AG200" s="131">
        <v>22</v>
      </c>
      <c r="AH200" s="131">
        <v>17</v>
      </c>
      <c r="AI200" s="131">
        <v>15</v>
      </c>
      <c r="AJ200" s="131">
        <v>12.5</v>
      </c>
      <c r="AK200" s="131">
        <v>10</v>
      </c>
      <c r="AL200" s="131">
        <v>8</v>
      </c>
      <c r="AM200" s="131">
        <v>6.5</v>
      </c>
      <c r="AN200" s="131">
        <v>5.75</v>
      </c>
      <c r="AO200" s="131">
        <v>4.5</v>
      </c>
      <c r="AP200" s="131">
        <v>3.9</v>
      </c>
      <c r="AQ200" s="131">
        <v>3.4</v>
      </c>
      <c r="AR200" s="131">
        <v>2.8</v>
      </c>
      <c r="AS200" s="131">
        <v>2.5</v>
      </c>
      <c r="AT200" s="131">
        <v>2.1</v>
      </c>
      <c r="AU200" s="131">
        <v>1.9</v>
      </c>
      <c r="AV200" s="131">
        <v>1.55</v>
      </c>
      <c r="AW200" s="131">
        <v>1.3</v>
      </c>
      <c r="AX200" s="131">
        <v>1.1499999999999999</v>
      </c>
      <c r="AY200" s="131">
        <v>1.05</v>
      </c>
      <c r="AZ200" s="131">
        <v>0.9</v>
      </c>
      <c r="BA200" s="131">
        <v>0.7</v>
      </c>
      <c r="BB200" s="131">
        <v>0.54</v>
      </c>
      <c r="BC200" s="131">
        <v>0.45</v>
      </c>
      <c r="BD200" s="131">
        <v>0.36</v>
      </c>
      <c r="BE200" s="131">
        <v>0.28000000000000003</v>
      </c>
      <c r="BF200" s="131">
        <v>0.23</v>
      </c>
      <c r="BG200" s="131">
        <v>0.19</v>
      </c>
      <c r="BH200" s="131">
        <v>0.16</v>
      </c>
      <c r="BI200" s="131">
        <v>0.13</v>
      </c>
      <c r="BJ200" s="131">
        <v>0.115</v>
      </c>
      <c r="BK200" s="131">
        <v>0.1</v>
      </c>
      <c r="BL200" s="131"/>
      <c r="BM200" s="131"/>
      <c r="BN200" s="131"/>
      <c r="BO200" s="131"/>
      <c r="BP200" s="131"/>
      <c r="BQ200" s="131"/>
      <c r="BR200" s="131"/>
      <c r="BS200" s="131"/>
      <c r="BT200" s="131"/>
      <c r="BU200" s="131"/>
      <c r="BV200" s="131"/>
      <c r="BW200" s="131"/>
      <c r="BX200" s="131"/>
      <c r="BY200" s="131"/>
      <c r="BZ200" s="131"/>
    </row>
    <row r="201" spans="2:78" s="128" customFormat="1" ht="10.5" hidden="1" x14ac:dyDescent="0.25">
      <c r="B201" s="138">
        <v>121</v>
      </c>
      <c r="C201" s="130">
        <v>8</v>
      </c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  <c r="AA201" s="131"/>
      <c r="AB201" s="131"/>
      <c r="AC201" s="131">
        <v>75</v>
      </c>
      <c r="AD201" s="131">
        <v>60</v>
      </c>
      <c r="AE201" s="131">
        <v>45</v>
      </c>
      <c r="AF201" s="131">
        <v>33</v>
      </c>
      <c r="AG201" s="131">
        <v>24</v>
      </c>
      <c r="AH201" s="131">
        <v>19</v>
      </c>
      <c r="AI201" s="131">
        <v>17.5</v>
      </c>
      <c r="AJ201" s="131">
        <v>14</v>
      </c>
      <c r="AK201" s="131">
        <v>11</v>
      </c>
      <c r="AL201" s="131">
        <v>9</v>
      </c>
      <c r="AM201" s="131">
        <v>7.5</v>
      </c>
      <c r="AN201" s="131">
        <v>6.5</v>
      </c>
      <c r="AO201" s="131">
        <v>5</v>
      </c>
      <c r="AP201" s="131">
        <v>4.5</v>
      </c>
      <c r="AQ201" s="131">
        <v>3.8</v>
      </c>
      <c r="AR201" s="131">
        <v>3.2</v>
      </c>
      <c r="AS201" s="131">
        <v>2.8</v>
      </c>
      <c r="AT201" s="131">
        <v>2.4</v>
      </c>
      <c r="AU201" s="131">
        <v>2.2000000000000002</v>
      </c>
      <c r="AV201" s="131">
        <v>1.8</v>
      </c>
      <c r="AW201" s="131">
        <v>1.5</v>
      </c>
      <c r="AX201" s="131">
        <v>1.3</v>
      </c>
      <c r="AY201" s="131">
        <v>1.2</v>
      </c>
      <c r="AZ201" s="131">
        <v>1.05</v>
      </c>
      <c r="BA201" s="131">
        <v>0.8</v>
      </c>
      <c r="BB201" s="131">
        <v>0.61</v>
      </c>
      <c r="BC201" s="131">
        <v>0.5</v>
      </c>
      <c r="BD201" s="131">
        <v>0.4</v>
      </c>
      <c r="BE201" s="131">
        <v>0.31</v>
      </c>
      <c r="BF201" s="131">
        <v>0.26</v>
      </c>
      <c r="BG201" s="131">
        <v>0.22</v>
      </c>
      <c r="BH201" s="131">
        <v>0.18</v>
      </c>
      <c r="BI201" s="131">
        <v>0.15</v>
      </c>
      <c r="BJ201" s="131">
        <v>0.13</v>
      </c>
      <c r="BK201" s="131">
        <v>0.11</v>
      </c>
      <c r="BL201" s="131"/>
      <c r="BM201" s="131"/>
      <c r="BN201" s="131"/>
      <c r="BO201" s="131"/>
      <c r="BP201" s="131"/>
      <c r="BQ201" s="131"/>
      <c r="BR201" s="131"/>
      <c r="BS201" s="131"/>
      <c r="BT201" s="131"/>
      <c r="BU201" s="131"/>
      <c r="BV201" s="131"/>
      <c r="BW201" s="131"/>
      <c r="BX201" s="131"/>
      <c r="BY201" s="131"/>
      <c r="BZ201" s="131"/>
    </row>
    <row r="202" spans="2:78" s="128" customFormat="1" ht="10.5" hidden="1" x14ac:dyDescent="0.25">
      <c r="B202" s="138">
        <v>122</v>
      </c>
      <c r="C202" s="130">
        <v>8.5</v>
      </c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  <c r="AA202" s="131"/>
      <c r="AB202" s="131"/>
      <c r="AC202" s="131"/>
      <c r="AD202" s="131">
        <v>67</v>
      </c>
      <c r="AE202" s="131">
        <v>50</v>
      </c>
      <c r="AF202" s="131">
        <v>38</v>
      </c>
      <c r="AG202" s="131">
        <v>28</v>
      </c>
      <c r="AH202" s="131">
        <v>22</v>
      </c>
      <c r="AI202" s="131">
        <v>20</v>
      </c>
      <c r="AJ202" s="131">
        <v>15.75</v>
      </c>
      <c r="AK202" s="131">
        <v>12.25</v>
      </c>
      <c r="AL202" s="131">
        <v>10</v>
      </c>
      <c r="AM202" s="131">
        <v>8.5</v>
      </c>
      <c r="AN202" s="131">
        <v>7</v>
      </c>
      <c r="AO202" s="131">
        <v>5.5</v>
      </c>
      <c r="AP202" s="131">
        <v>5</v>
      </c>
      <c r="AQ202" s="131">
        <v>4.25</v>
      </c>
      <c r="AR202" s="131">
        <v>3.7</v>
      </c>
      <c r="AS202" s="131">
        <v>3.2</v>
      </c>
      <c r="AT202" s="131">
        <v>2.7</v>
      </c>
      <c r="AU202" s="131">
        <v>2.5</v>
      </c>
      <c r="AV202" s="131">
        <v>2</v>
      </c>
      <c r="AW202" s="131">
        <v>1.65</v>
      </c>
      <c r="AX202" s="131">
        <v>1.5</v>
      </c>
      <c r="AY202" s="131">
        <v>1.35</v>
      </c>
      <c r="AZ202" s="131">
        <v>1.2</v>
      </c>
      <c r="BA202" s="131">
        <v>0.9</v>
      </c>
      <c r="BB202" s="131">
        <v>0.7</v>
      </c>
      <c r="BC202" s="131">
        <v>0.57499999999999996</v>
      </c>
      <c r="BD202" s="131">
        <v>0.45</v>
      </c>
      <c r="BE202" s="131">
        <v>0.35</v>
      </c>
      <c r="BF202" s="131">
        <v>0.28999999999999998</v>
      </c>
      <c r="BG202" s="131">
        <v>0.25</v>
      </c>
      <c r="BH202" s="131">
        <v>0.2</v>
      </c>
      <c r="BI202" s="131">
        <v>0.17</v>
      </c>
      <c r="BJ202" s="131">
        <v>0.14499999999999999</v>
      </c>
      <c r="BK202" s="131">
        <v>0.125</v>
      </c>
      <c r="BL202" s="131">
        <v>0.1</v>
      </c>
      <c r="BM202" s="131"/>
      <c r="BN202" s="131"/>
      <c r="BO202" s="131"/>
      <c r="BP202" s="131"/>
      <c r="BQ202" s="131"/>
      <c r="BR202" s="131"/>
      <c r="BS202" s="131"/>
      <c r="BT202" s="131"/>
      <c r="BU202" s="131"/>
      <c r="BV202" s="131"/>
      <c r="BW202" s="131"/>
      <c r="BX202" s="131"/>
      <c r="BY202" s="131"/>
      <c r="BZ202" s="131"/>
    </row>
    <row r="203" spans="2:78" s="128" customFormat="1" ht="10.5" hidden="1" x14ac:dyDescent="0.25">
      <c r="B203" s="138">
        <v>123</v>
      </c>
      <c r="C203" s="130">
        <v>9</v>
      </c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  <c r="AA203" s="131"/>
      <c r="AB203" s="131"/>
      <c r="AC203" s="131"/>
      <c r="AD203" s="131">
        <v>75</v>
      </c>
      <c r="AE203" s="131">
        <v>55</v>
      </c>
      <c r="AF203" s="131">
        <v>42.5</v>
      </c>
      <c r="AG203" s="131">
        <v>31</v>
      </c>
      <c r="AH203" s="131">
        <v>24</v>
      </c>
      <c r="AI203" s="131">
        <v>22</v>
      </c>
      <c r="AJ203" s="131">
        <v>18</v>
      </c>
      <c r="AK203" s="131">
        <v>14</v>
      </c>
      <c r="AL203" s="131">
        <v>11.5</v>
      </c>
      <c r="AM203" s="131">
        <v>9.5</v>
      </c>
      <c r="AN203" s="131">
        <v>8</v>
      </c>
      <c r="AO203" s="131">
        <v>6.25</v>
      </c>
      <c r="AP203" s="131">
        <v>5.5</v>
      </c>
      <c r="AQ203" s="131">
        <v>4.75</v>
      </c>
      <c r="AR203" s="131">
        <v>4</v>
      </c>
      <c r="AS203" s="131">
        <v>3.5</v>
      </c>
      <c r="AT203" s="131">
        <v>3</v>
      </c>
      <c r="AU203" s="131">
        <v>2.8</v>
      </c>
      <c r="AV203" s="131">
        <v>2.2000000000000002</v>
      </c>
      <c r="AW203" s="131">
        <v>1.9</v>
      </c>
      <c r="AX203" s="131">
        <v>1.65</v>
      </c>
      <c r="AY203" s="131">
        <v>1.5</v>
      </c>
      <c r="AZ203" s="131">
        <v>1.3</v>
      </c>
      <c r="BA203" s="131">
        <v>1</v>
      </c>
      <c r="BB203" s="131">
        <v>0.75</v>
      </c>
      <c r="BC203" s="131">
        <v>0.65</v>
      </c>
      <c r="BD203" s="131">
        <v>0.5</v>
      </c>
      <c r="BE203" s="131">
        <v>0.4</v>
      </c>
      <c r="BF203" s="131">
        <v>0.32</v>
      </c>
      <c r="BG203" s="131">
        <v>0.28000000000000003</v>
      </c>
      <c r="BH203" s="131">
        <v>0.22</v>
      </c>
      <c r="BI203" s="131">
        <v>0.19</v>
      </c>
      <c r="BJ203" s="131">
        <v>0.16</v>
      </c>
      <c r="BK203" s="131">
        <v>0.14000000000000001</v>
      </c>
      <c r="BL203" s="131">
        <v>0.11</v>
      </c>
      <c r="BM203" s="131">
        <v>0.1</v>
      </c>
      <c r="BN203" s="131"/>
      <c r="BO203" s="131"/>
      <c r="BP203" s="131"/>
      <c r="BQ203" s="131"/>
      <c r="BR203" s="131"/>
      <c r="BS203" s="131"/>
      <c r="BT203" s="131"/>
      <c r="BU203" s="131"/>
      <c r="BV203" s="131"/>
      <c r="BW203" s="131"/>
      <c r="BX203" s="131"/>
      <c r="BY203" s="131"/>
      <c r="BZ203" s="131"/>
    </row>
    <row r="204" spans="2:78" s="128" customFormat="1" ht="10.5" hidden="1" x14ac:dyDescent="0.25">
      <c r="B204" s="138">
        <v>124</v>
      </c>
      <c r="C204" s="130">
        <v>9.5</v>
      </c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  <c r="AA204" s="131"/>
      <c r="AB204" s="131"/>
      <c r="AC204" s="131"/>
      <c r="AD204" s="131">
        <v>80</v>
      </c>
      <c r="AE204" s="131">
        <v>62.5</v>
      </c>
      <c r="AF204" s="131">
        <v>47.5</v>
      </c>
      <c r="AG204" s="131">
        <v>34</v>
      </c>
      <c r="AH204" s="131">
        <v>27</v>
      </c>
      <c r="AI204" s="131">
        <v>25</v>
      </c>
      <c r="AJ204" s="131">
        <v>20</v>
      </c>
      <c r="AK204" s="131">
        <v>15</v>
      </c>
      <c r="AL204" s="131">
        <v>12.5</v>
      </c>
      <c r="AM204" s="131">
        <v>10.5</v>
      </c>
      <c r="AN204" s="131">
        <v>9</v>
      </c>
      <c r="AO204" s="131">
        <v>7</v>
      </c>
      <c r="AP204" s="131">
        <v>6.2</v>
      </c>
      <c r="AQ204" s="131">
        <v>5.25</v>
      </c>
      <c r="AR204" s="131">
        <v>4.4000000000000004</v>
      </c>
      <c r="AS204" s="131">
        <v>4</v>
      </c>
      <c r="AT204" s="131">
        <v>3.4</v>
      </c>
      <c r="AU204" s="131">
        <v>3</v>
      </c>
      <c r="AV204" s="131">
        <v>2.5</v>
      </c>
      <c r="AW204" s="131">
        <v>2.1</v>
      </c>
      <c r="AX204" s="131">
        <v>1.8</v>
      </c>
      <c r="AY204" s="131">
        <v>1.65</v>
      </c>
      <c r="AZ204" s="131">
        <v>1.4750000000000001</v>
      </c>
      <c r="BA204" s="131">
        <v>1.1000000000000001</v>
      </c>
      <c r="BB204" s="131">
        <v>0.85</v>
      </c>
      <c r="BC204" s="131">
        <v>0.7</v>
      </c>
      <c r="BD204" s="131">
        <v>0.55000000000000004</v>
      </c>
      <c r="BE204" s="131">
        <v>0.45</v>
      </c>
      <c r="BF204" s="131">
        <v>0.36</v>
      </c>
      <c r="BG204" s="131">
        <v>0.31</v>
      </c>
      <c r="BH204" s="131">
        <v>0.25</v>
      </c>
      <c r="BI204" s="131">
        <v>0.21</v>
      </c>
      <c r="BJ204" s="131">
        <v>0.18</v>
      </c>
      <c r="BK204" s="131">
        <v>0.15</v>
      </c>
      <c r="BL204" s="131">
        <v>0.125</v>
      </c>
      <c r="BM204" s="131">
        <v>0.11</v>
      </c>
      <c r="BN204" s="131"/>
      <c r="BO204" s="131"/>
      <c r="BP204" s="131"/>
      <c r="BQ204" s="131"/>
      <c r="BR204" s="131"/>
      <c r="BS204" s="131"/>
      <c r="BT204" s="131"/>
      <c r="BU204" s="131"/>
      <c r="BV204" s="131"/>
      <c r="BW204" s="131"/>
      <c r="BX204" s="131"/>
      <c r="BY204" s="131"/>
      <c r="BZ204" s="131"/>
    </row>
    <row r="205" spans="2:78" s="128" customFormat="1" ht="10.5" hidden="1" x14ac:dyDescent="0.25">
      <c r="B205" s="138">
        <v>125</v>
      </c>
      <c r="C205" s="130">
        <v>10</v>
      </c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131"/>
      <c r="AB205" s="131"/>
      <c r="AC205" s="131"/>
      <c r="AD205" s="131"/>
      <c r="AE205" s="131">
        <v>70</v>
      </c>
      <c r="AF205" s="131">
        <v>51</v>
      </c>
      <c r="AG205" s="131">
        <v>38</v>
      </c>
      <c r="AH205" s="131">
        <v>30</v>
      </c>
      <c r="AI205" s="131">
        <v>27</v>
      </c>
      <c r="AJ205" s="131">
        <v>22</v>
      </c>
      <c r="AK205" s="131">
        <v>17</v>
      </c>
      <c r="AL205" s="131">
        <v>14</v>
      </c>
      <c r="AM205" s="131">
        <v>11.5</v>
      </c>
      <c r="AN205" s="131">
        <v>10</v>
      </c>
      <c r="AO205" s="131">
        <v>7.5</v>
      </c>
      <c r="AP205" s="131">
        <v>6.8</v>
      </c>
      <c r="AQ205" s="131">
        <v>6</v>
      </c>
      <c r="AR205" s="131">
        <v>4.9000000000000004</v>
      </c>
      <c r="AS205" s="131">
        <v>4.4000000000000004</v>
      </c>
      <c r="AT205" s="131">
        <v>3.7</v>
      </c>
      <c r="AU205" s="131">
        <v>3.3</v>
      </c>
      <c r="AV205" s="131">
        <v>2.7</v>
      </c>
      <c r="AW205" s="131">
        <v>2.2999999999999998</v>
      </c>
      <c r="AX205" s="131">
        <v>2</v>
      </c>
      <c r="AY205" s="131">
        <v>1.85</v>
      </c>
      <c r="AZ205" s="131">
        <v>1.6</v>
      </c>
      <c r="BA205" s="131">
        <v>1.2</v>
      </c>
      <c r="BB205" s="131">
        <v>0.92500000000000004</v>
      </c>
      <c r="BC205" s="131">
        <v>0.77500000000000002</v>
      </c>
      <c r="BD205" s="131">
        <v>0.6</v>
      </c>
      <c r="BE205" s="131">
        <v>0.5</v>
      </c>
      <c r="BF205" s="131">
        <v>0.4</v>
      </c>
      <c r="BG205" s="131">
        <v>0.34</v>
      </c>
      <c r="BH205" s="131">
        <v>0.28000000000000003</v>
      </c>
      <c r="BI205" s="131">
        <v>0.23</v>
      </c>
      <c r="BJ205" s="131">
        <v>0.2</v>
      </c>
      <c r="BK205" s="131">
        <v>0.17</v>
      </c>
      <c r="BL205" s="131">
        <v>0.14000000000000001</v>
      </c>
      <c r="BM205" s="131">
        <v>0.12</v>
      </c>
      <c r="BN205" s="131">
        <v>0.1</v>
      </c>
      <c r="BO205" s="131"/>
      <c r="BP205" s="131"/>
      <c r="BQ205" s="131"/>
      <c r="BR205" s="131"/>
      <c r="BS205" s="131"/>
      <c r="BT205" s="131"/>
      <c r="BU205" s="131"/>
      <c r="BV205" s="131"/>
      <c r="BW205" s="131"/>
      <c r="BX205" s="131"/>
      <c r="BY205" s="131"/>
      <c r="BZ205" s="131"/>
    </row>
    <row r="206" spans="2:78" s="128" customFormat="1" ht="10.5" hidden="1" x14ac:dyDescent="0.25">
      <c r="B206" s="138">
        <v>126</v>
      </c>
      <c r="C206" s="130">
        <v>11</v>
      </c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  <c r="AA206" s="131"/>
      <c r="AB206" s="131"/>
      <c r="AC206" s="131"/>
      <c r="AD206" s="131"/>
      <c r="AE206" s="131">
        <v>80</v>
      </c>
      <c r="AF206" s="131">
        <v>60</v>
      </c>
      <c r="AG206" s="131">
        <v>45</v>
      </c>
      <c r="AH206" s="131">
        <v>35</v>
      </c>
      <c r="AI206" s="131">
        <v>32</v>
      </c>
      <c r="AJ206" s="131">
        <v>26</v>
      </c>
      <c r="AK206" s="131">
        <v>20</v>
      </c>
      <c r="AL206" s="131">
        <v>17</v>
      </c>
      <c r="AM206" s="131">
        <v>14</v>
      </c>
      <c r="AN206" s="131">
        <v>12</v>
      </c>
      <c r="AO206" s="131">
        <v>9</v>
      </c>
      <c r="AP206" s="131">
        <v>8</v>
      </c>
      <c r="AQ206" s="131">
        <v>7</v>
      </c>
      <c r="AR206" s="131">
        <v>6</v>
      </c>
      <c r="AS206" s="131">
        <v>5.25</v>
      </c>
      <c r="AT206" s="131">
        <v>4.5</v>
      </c>
      <c r="AU206" s="131">
        <v>4</v>
      </c>
      <c r="AV206" s="131">
        <v>3.2</v>
      </c>
      <c r="AW206" s="131">
        <v>2.8</v>
      </c>
      <c r="AX206" s="131">
        <v>2.4</v>
      </c>
      <c r="AY206" s="131">
        <v>2.2000000000000002</v>
      </c>
      <c r="AZ206" s="131">
        <v>1.95</v>
      </c>
      <c r="BA206" s="131">
        <v>1.5</v>
      </c>
      <c r="BB206" s="131">
        <v>1.1000000000000001</v>
      </c>
      <c r="BC206" s="131">
        <v>0.95</v>
      </c>
      <c r="BD206" s="131">
        <v>0.75</v>
      </c>
      <c r="BE206" s="131">
        <v>0.6</v>
      </c>
      <c r="BF206" s="131">
        <v>0.47499999999999998</v>
      </c>
      <c r="BG206" s="131">
        <v>0.4</v>
      </c>
      <c r="BH206" s="131">
        <v>0.34</v>
      </c>
      <c r="BI206" s="131">
        <v>0.28000000000000003</v>
      </c>
      <c r="BJ206" s="131">
        <v>0.24</v>
      </c>
      <c r="BK206" s="131">
        <v>0.2</v>
      </c>
      <c r="BL206" s="131">
        <v>0.16500000000000001</v>
      </c>
      <c r="BM206" s="131">
        <v>0.15</v>
      </c>
      <c r="BN206" s="131">
        <v>0.12</v>
      </c>
      <c r="BO206" s="131">
        <v>0.11</v>
      </c>
      <c r="BP206" s="131">
        <v>0.1</v>
      </c>
      <c r="BQ206" s="131"/>
      <c r="BR206" s="131"/>
      <c r="BS206" s="131"/>
      <c r="BT206" s="131"/>
      <c r="BU206" s="131"/>
      <c r="BV206" s="131"/>
      <c r="BW206" s="131"/>
      <c r="BX206" s="131"/>
      <c r="BY206" s="131"/>
      <c r="BZ206" s="131"/>
    </row>
    <row r="207" spans="2:78" s="128" customFormat="1" ht="10.5" hidden="1" x14ac:dyDescent="0.25">
      <c r="B207" s="138">
        <v>127</v>
      </c>
      <c r="C207" s="130">
        <v>12</v>
      </c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  <c r="AA207" s="131"/>
      <c r="AB207" s="131"/>
      <c r="AC207" s="131"/>
      <c r="AD207" s="131"/>
      <c r="AE207" s="131"/>
      <c r="AF207" s="131">
        <v>70</v>
      </c>
      <c r="AG207" s="131">
        <v>54</v>
      </c>
      <c r="AH207" s="131">
        <v>42.5</v>
      </c>
      <c r="AI207" s="131">
        <v>38</v>
      </c>
      <c r="AJ207" s="131">
        <v>31</v>
      </c>
      <c r="AK207" s="131">
        <v>24</v>
      </c>
      <c r="AL207" s="131">
        <v>20</v>
      </c>
      <c r="AM207" s="131">
        <v>16.5</v>
      </c>
      <c r="AN207" s="131">
        <v>14</v>
      </c>
      <c r="AO207" s="131">
        <v>10.5</v>
      </c>
      <c r="AP207" s="131">
        <v>9.5</v>
      </c>
      <c r="AQ207" s="131">
        <v>8.5</v>
      </c>
      <c r="AR207" s="131">
        <v>7</v>
      </c>
      <c r="AS207" s="131">
        <v>6.25</v>
      </c>
      <c r="AT207" s="131">
        <v>5.25</v>
      </c>
      <c r="AU207" s="131">
        <v>4.75</v>
      </c>
      <c r="AV207" s="131">
        <v>3.8</v>
      </c>
      <c r="AW207" s="131">
        <v>3.2</v>
      </c>
      <c r="AX207" s="131">
        <v>2.8</v>
      </c>
      <c r="AY207" s="131">
        <v>2.6</v>
      </c>
      <c r="AZ207" s="131">
        <v>2.2999999999999998</v>
      </c>
      <c r="BA207" s="131">
        <v>1.75</v>
      </c>
      <c r="BB207" s="131">
        <v>1.3</v>
      </c>
      <c r="BC207" s="131">
        <v>1.1000000000000001</v>
      </c>
      <c r="BD207" s="131">
        <v>0.875</v>
      </c>
      <c r="BE207" s="131">
        <v>0.7</v>
      </c>
      <c r="BF207" s="131">
        <v>0.57499999999999996</v>
      </c>
      <c r="BG207" s="131">
        <v>0.47499999999999998</v>
      </c>
      <c r="BH207" s="131">
        <v>0.4</v>
      </c>
      <c r="BI207" s="131">
        <v>0.32</v>
      </c>
      <c r="BJ207" s="131">
        <v>0.28000000000000003</v>
      </c>
      <c r="BK207" s="131">
        <v>0.24</v>
      </c>
      <c r="BL207" s="131">
        <v>0.2</v>
      </c>
      <c r="BM207" s="131">
        <v>0.17499999999999999</v>
      </c>
      <c r="BN207" s="131">
        <v>0.14000000000000001</v>
      </c>
      <c r="BO207" s="131">
        <v>0.13</v>
      </c>
      <c r="BP207" s="131">
        <v>0.115</v>
      </c>
      <c r="BQ207" s="131">
        <v>0.1</v>
      </c>
      <c r="BR207" s="131"/>
      <c r="BS207" s="131"/>
      <c r="BT207" s="131"/>
      <c r="BU207" s="131"/>
      <c r="BV207" s="131"/>
      <c r="BW207" s="131"/>
      <c r="BX207" s="131"/>
      <c r="BY207" s="131"/>
      <c r="BZ207" s="131"/>
    </row>
    <row r="208" spans="2:78" s="128" customFormat="1" ht="10.5" hidden="1" x14ac:dyDescent="0.25">
      <c r="B208" s="138">
        <v>128</v>
      </c>
      <c r="C208" s="130">
        <v>13</v>
      </c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  <c r="AA208" s="131"/>
      <c r="AB208" s="131"/>
      <c r="AC208" s="131"/>
      <c r="AD208" s="131"/>
      <c r="AE208" s="131"/>
      <c r="AF208" s="131">
        <v>80</v>
      </c>
      <c r="AG208" s="131">
        <v>62.5</v>
      </c>
      <c r="AH208" s="131">
        <v>50</v>
      </c>
      <c r="AI208" s="131">
        <v>45</v>
      </c>
      <c r="AJ208" s="131">
        <v>36</v>
      </c>
      <c r="AK208" s="131">
        <v>28</v>
      </c>
      <c r="AL208" s="131">
        <v>23</v>
      </c>
      <c r="AM208" s="131">
        <v>19</v>
      </c>
      <c r="AN208" s="131">
        <v>16</v>
      </c>
      <c r="AO208" s="131">
        <v>12.5</v>
      </c>
      <c r="AP208" s="131">
        <v>11</v>
      </c>
      <c r="AQ208" s="131">
        <v>10</v>
      </c>
      <c r="AR208" s="131">
        <v>8</v>
      </c>
      <c r="AS208" s="131">
        <v>7.25</v>
      </c>
      <c r="AT208" s="131">
        <v>6</v>
      </c>
      <c r="AU208" s="131">
        <v>5.5</v>
      </c>
      <c r="AV208" s="131">
        <v>4.5</v>
      </c>
      <c r="AW208" s="131">
        <v>3.8</v>
      </c>
      <c r="AX208" s="131">
        <v>3.2</v>
      </c>
      <c r="AY208" s="131">
        <v>3</v>
      </c>
      <c r="AZ208" s="131">
        <v>2.6</v>
      </c>
      <c r="BA208" s="131">
        <v>2</v>
      </c>
      <c r="BB208" s="131">
        <v>1.5</v>
      </c>
      <c r="BC208" s="131">
        <v>1.3</v>
      </c>
      <c r="BD208" s="131">
        <v>1</v>
      </c>
      <c r="BE208" s="131">
        <v>0.8</v>
      </c>
      <c r="BF208" s="131">
        <v>0.65</v>
      </c>
      <c r="BG208" s="131">
        <v>0.55000000000000004</v>
      </c>
      <c r="BH208" s="131">
        <v>0.46</v>
      </c>
      <c r="BI208" s="131">
        <v>0.37</v>
      </c>
      <c r="BJ208" s="131">
        <v>0.32</v>
      </c>
      <c r="BK208" s="131">
        <v>0.28000000000000003</v>
      </c>
      <c r="BL208" s="131">
        <v>0.23</v>
      </c>
      <c r="BM208" s="131">
        <v>0.2</v>
      </c>
      <c r="BN208" s="131">
        <v>0.16</v>
      </c>
      <c r="BO208" s="131">
        <v>0.15</v>
      </c>
      <c r="BP208" s="131">
        <v>0.13500000000000001</v>
      </c>
      <c r="BQ208" s="131">
        <v>0.115</v>
      </c>
      <c r="BR208" s="131">
        <v>0.1</v>
      </c>
      <c r="BS208" s="131"/>
      <c r="BT208" s="131"/>
      <c r="BU208" s="131"/>
      <c r="BV208" s="131"/>
      <c r="BW208" s="131"/>
      <c r="BX208" s="131"/>
      <c r="BY208" s="131"/>
      <c r="BZ208" s="131"/>
    </row>
    <row r="209" spans="2:78" s="128" customFormat="1" ht="10.5" hidden="1" x14ac:dyDescent="0.25">
      <c r="B209" s="138">
        <v>129</v>
      </c>
      <c r="C209" s="130">
        <v>14</v>
      </c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  <c r="AA209" s="131"/>
      <c r="AB209" s="131"/>
      <c r="AC209" s="131"/>
      <c r="AD209" s="131"/>
      <c r="AE209" s="131"/>
      <c r="AF209" s="131"/>
      <c r="AG209" s="131">
        <v>72.5</v>
      </c>
      <c r="AH209" s="131">
        <v>57.5</v>
      </c>
      <c r="AI209" s="131">
        <v>52.5</v>
      </c>
      <c r="AJ209" s="131">
        <v>42.5</v>
      </c>
      <c r="AK209" s="131">
        <v>32</v>
      </c>
      <c r="AL209" s="131">
        <v>27</v>
      </c>
      <c r="AM209" s="131">
        <v>22</v>
      </c>
      <c r="AN209" s="131">
        <v>19</v>
      </c>
      <c r="AO209" s="131">
        <v>14.5</v>
      </c>
      <c r="AP209" s="131">
        <v>12.5</v>
      </c>
      <c r="AQ209" s="131">
        <v>11.5</v>
      </c>
      <c r="AR209" s="131">
        <v>9.5</v>
      </c>
      <c r="AS209" s="131">
        <v>8.5</v>
      </c>
      <c r="AT209" s="131">
        <v>7</v>
      </c>
      <c r="AU209" s="131">
        <v>6.5</v>
      </c>
      <c r="AV209" s="131">
        <v>5</v>
      </c>
      <c r="AW209" s="131">
        <v>4.5</v>
      </c>
      <c r="AX209" s="131">
        <v>3.8</v>
      </c>
      <c r="AY209" s="131">
        <v>3.5</v>
      </c>
      <c r="AZ209" s="131">
        <v>3.1</v>
      </c>
      <c r="BA209" s="131">
        <v>2.2999999999999998</v>
      </c>
      <c r="BB209" s="131">
        <v>1.75</v>
      </c>
      <c r="BC209" s="131">
        <v>1.5</v>
      </c>
      <c r="BD209" s="131">
        <v>1.1499999999999999</v>
      </c>
      <c r="BE209" s="131">
        <v>0.92500000000000004</v>
      </c>
      <c r="BF209" s="131">
        <v>0.75</v>
      </c>
      <c r="BG209" s="131">
        <v>0.65</v>
      </c>
      <c r="BH209" s="131">
        <v>0.52500000000000002</v>
      </c>
      <c r="BI209" s="131">
        <v>0.44</v>
      </c>
      <c r="BJ209" s="131">
        <v>0.38</v>
      </c>
      <c r="BK209" s="131">
        <v>0.32</v>
      </c>
      <c r="BL209" s="131">
        <v>0.26</v>
      </c>
      <c r="BM209" s="131">
        <v>0.24</v>
      </c>
      <c r="BN209" s="131">
        <v>0.19</v>
      </c>
      <c r="BO209" s="131">
        <v>0.17499999999999999</v>
      </c>
      <c r="BP209" s="131">
        <v>0.15</v>
      </c>
      <c r="BQ209" s="131">
        <v>0.13500000000000001</v>
      </c>
      <c r="BR209" s="131">
        <v>0.115</v>
      </c>
      <c r="BS209" s="131">
        <v>0.1</v>
      </c>
      <c r="BT209" s="131"/>
      <c r="BU209" s="131"/>
      <c r="BV209" s="131"/>
      <c r="BW209" s="131"/>
      <c r="BX209" s="131"/>
      <c r="BY209" s="131"/>
      <c r="BZ209" s="131"/>
    </row>
    <row r="210" spans="2:78" s="128" customFormat="1" ht="10.5" hidden="1" x14ac:dyDescent="0.25">
      <c r="B210" s="138">
        <v>130</v>
      </c>
      <c r="C210" s="130">
        <v>15</v>
      </c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131"/>
      <c r="AB210" s="131"/>
      <c r="AC210" s="131"/>
      <c r="AD210" s="131"/>
      <c r="AE210" s="131"/>
      <c r="AF210" s="131"/>
      <c r="AG210" s="131">
        <v>80</v>
      </c>
      <c r="AH210" s="131">
        <v>65</v>
      </c>
      <c r="AI210" s="131">
        <v>60</v>
      </c>
      <c r="AJ210" s="131">
        <v>47.5</v>
      </c>
      <c r="AK210" s="131">
        <v>37</v>
      </c>
      <c r="AL210" s="131">
        <v>30</v>
      </c>
      <c r="AM210" s="131">
        <v>25</v>
      </c>
      <c r="AN210" s="131">
        <v>22</v>
      </c>
      <c r="AO210" s="131">
        <v>16.5</v>
      </c>
      <c r="AP210" s="131">
        <v>14</v>
      </c>
      <c r="AQ210" s="131">
        <v>13</v>
      </c>
      <c r="AR210" s="131">
        <v>10.074999999999999</v>
      </c>
      <c r="AS210" s="131">
        <v>9.5</v>
      </c>
      <c r="AT210" s="131">
        <v>8</v>
      </c>
      <c r="AU210" s="131">
        <v>7</v>
      </c>
      <c r="AV210" s="131">
        <v>5.75</v>
      </c>
      <c r="AW210" s="131">
        <v>5</v>
      </c>
      <c r="AX210" s="131">
        <v>4.4000000000000004</v>
      </c>
      <c r="AY210" s="131">
        <v>4</v>
      </c>
      <c r="AZ210" s="131">
        <v>3.5</v>
      </c>
      <c r="BA210" s="131">
        <v>2.6</v>
      </c>
      <c r="BB210" s="131">
        <v>2</v>
      </c>
      <c r="BC210" s="131">
        <v>1.7</v>
      </c>
      <c r="BD210" s="131">
        <v>1.3</v>
      </c>
      <c r="BE210" s="131">
        <v>1.05</v>
      </c>
      <c r="BF210" s="131">
        <v>0.85</v>
      </c>
      <c r="BG210" s="131">
        <v>0.75</v>
      </c>
      <c r="BH210" s="131">
        <v>0.6</v>
      </c>
      <c r="BI210" s="131">
        <v>0.5</v>
      </c>
      <c r="BJ210" s="131">
        <v>0.42499999999999999</v>
      </c>
      <c r="BK210" s="131">
        <v>0.36</v>
      </c>
      <c r="BL210" s="131">
        <v>0.3</v>
      </c>
      <c r="BM210" s="131">
        <v>0.27</v>
      </c>
      <c r="BN210" s="131">
        <v>0.22</v>
      </c>
      <c r="BO210" s="131">
        <v>0.2</v>
      </c>
      <c r="BP210" s="131">
        <v>0.17</v>
      </c>
      <c r="BQ210" s="131">
        <v>0.15</v>
      </c>
      <c r="BR210" s="131">
        <v>0.13</v>
      </c>
      <c r="BS210" s="131">
        <v>0.115</v>
      </c>
      <c r="BT210" s="131">
        <v>0.1</v>
      </c>
      <c r="BU210" s="131"/>
      <c r="BV210" s="131"/>
      <c r="BW210" s="131"/>
      <c r="BX210" s="131"/>
      <c r="BY210" s="131"/>
      <c r="BZ210" s="131"/>
    </row>
    <row r="211" spans="2:78" s="128" customFormat="1" ht="10.5" hidden="1" x14ac:dyDescent="0.25">
      <c r="B211" s="138">
        <v>131</v>
      </c>
      <c r="C211" s="130">
        <v>16</v>
      </c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  <c r="AA211" s="131"/>
      <c r="AB211" s="131"/>
      <c r="AC211" s="131"/>
      <c r="AD211" s="131"/>
      <c r="AE211" s="131"/>
      <c r="AF211" s="131"/>
      <c r="AG211" s="131"/>
      <c r="AH211" s="131">
        <v>75</v>
      </c>
      <c r="AI211" s="131">
        <v>67.5</v>
      </c>
      <c r="AJ211" s="131">
        <v>55</v>
      </c>
      <c r="AK211" s="131">
        <v>40</v>
      </c>
      <c r="AL211" s="131">
        <v>34</v>
      </c>
      <c r="AM211" s="131">
        <v>28</v>
      </c>
      <c r="AN211" s="131">
        <v>24</v>
      </c>
      <c r="AO211" s="131">
        <v>18.5</v>
      </c>
      <c r="AP211" s="131">
        <v>16.5</v>
      </c>
      <c r="AQ211" s="131">
        <v>15</v>
      </c>
      <c r="AR211" s="131">
        <v>12</v>
      </c>
      <c r="AS211" s="131">
        <v>11</v>
      </c>
      <c r="AT211" s="131">
        <v>9</v>
      </c>
      <c r="AU211" s="131">
        <v>8</v>
      </c>
      <c r="AV211" s="131">
        <v>6.5</v>
      </c>
      <c r="AW211" s="131">
        <v>5.75</v>
      </c>
      <c r="AX211" s="131">
        <v>5</v>
      </c>
      <c r="AY211" s="131">
        <v>4.5</v>
      </c>
      <c r="AZ211" s="131">
        <v>4</v>
      </c>
      <c r="BA211" s="131">
        <v>3</v>
      </c>
      <c r="BB211" s="131">
        <v>2.2000000000000002</v>
      </c>
      <c r="BC211" s="131">
        <v>1.9</v>
      </c>
      <c r="BD211" s="131">
        <v>1.5</v>
      </c>
      <c r="BE211" s="131">
        <v>1.2</v>
      </c>
      <c r="BF211" s="131">
        <v>0.95</v>
      </c>
      <c r="BG211" s="131">
        <v>0.85</v>
      </c>
      <c r="BH211" s="131">
        <v>0.7</v>
      </c>
      <c r="BI211" s="131">
        <v>0.55000000000000004</v>
      </c>
      <c r="BJ211" s="131">
        <v>0.47499999999999998</v>
      </c>
      <c r="BK211" s="131">
        <v>0.4</v>
      </c>
      <c r="BL211" s="131">
        <v>0.34</v>
      </c>
      <c r="BM211" s="131">
        <v>0.3</v>
      </c>
      <c r="BN211" s="131">
        <v>0.25</v>
      </c>
      <c r="BO211" s="131">
        <v>0.22</v>
      </c>
      <c r="BP211" s="131">
        <v>0.19</v>
      </c>
      <c r="BQ211" s="131">
        <v>0.17</v>
      </c>
      <c r="BR211" s="131">
        <v>0.15</v>
      </c>
      <c r="BS211" s="131">
        <v>0.13</v>
      </c>
      <c r="BT211" s="131">
        <v>0.11</v>
      </c>
      <c r="BU211" s="131">
        <v>0.1</v>
      </c>
      <c r="BV211" s="131"/>
      <c r="BW211" s="131"/>
      <c r="BX211" s="131"/>
      <c r="BY211" s="131"/>
      <c r="BZ211" s="131"/>
    </row>
    <row r="212" spans="2:78" s="128" customFormat="1" ht="10.5" hidden="1" x14ac:dyDescent="0.25">
      <c r="B212" s="138">
        <v>132</v>
      </c>
      <c r="C212" s="130">
        <v>17</v>
      </c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  <c r="AA212" s="131"/>
      <c r="AB212" s="131"/>
      <c r="AC212" s="131"/>
      <c r="AD212" s="131"/>
      <c r="AE212" s="131"/>
      <c r="AF212" s="131"/>
      <c r="AG212" s="131"/>
      <c r="AH212" s="131">
        <v>80</v>
      </c>
      <c r="AI212" s="131">
        <v>75</v>
      </c>
      <c r="AJ212" s="131">
        <v>62.5</v>
      </c>
      <c r="AK212" s="131">
        <v>47</v>
      </c>
      <c r="AL212" s="131">
        <v>38</v>
      </c>
      <c r="AM212" s="131">
        <v>32</v>
      </c>
      <c r="AN212" s="131">
        <v>27</v>
      </c>
      <c r="AO212" s="131">
        <v>21</v>
      </c>
      <c r="AP212" s="131">
        <v>18.5</v>
      </c>
      <c r="AQ212" s="131">
        <v>17</v>
      </c>
      <c r="AR212" s="131">
        <v>14</v>
      </c>
      <c r="AS212" s="131">
        <v>12.5</v>
      </c>
      <c r="AT212" s="131">
        <v>10.5</v>
      </c>
      <c r="AU212" s="131">
        <v>9</v>
      </c>
      <c r="AV212" s="131">
        <v>7.25</v>
      </c>
      <c r="AW212" s="131">
        <v>6.5</v>
      </c>
      <c r="AX212" s="131">
        <v>5.75</v>
      </c>
      <c r="AY212" s="131">
        <v>5</v>
      </c>
      <c r="AZ212" s="131">
        <v>4.5</v>
      </c>
      <c r="BA212" s="131">
        <v>3.4</v>
      </c>
      <c r="BB212" s="131">
        <v>2.5</v>
      </c>
      <c r="BC212" s="131">
        <v>2.2000000000000002</v>
      </c>
      <c r="BD212" s="131">
        <v>1.7</v>
      </c>
      <c r="BE212" s="131">
        <v>1.35</v>
      </c>
      <c r="BF212" s="131">
        <v>1.1000000000000001</v>
      </c>
      <c r="BG212" s="131">
        <v>0.95</v>
      </c>
      <c r="BH212" s="131">
        <v>0.77500000000000002</v>
      </c>
      <c r="BI212" s="131">
        <v>0.625</v>
      </c>
      <c r="BJ212" s="131">
        <v>0.55000000000000004</v>
      </c>
      <c r="BK212" s="131">
        <v>0.45</v>
      </c>
      <c r="BL212" s="131">
        <v>0.38</v>
      </c>
      <c r="BM212" s="131">
        <v>0.34</v>
      </c>
      <c r="BN212" s="131">
        <v>0.28000000000000003</v>
      </c>
      <c r="BO212" s="131">
        <v>0.26</v>
      </c>
      <c r="BP212" s="131">
        <v>0.22</v>
      </c>
      <c r="BQ212" s="131">
        <v>0.19</v>
      </c>
      <c r="BR212" s="131">
        <v>0.17</v>
      </c>
      <c r="BS212" s="131">
        <v>0.15</v>
      </c>
      <c r="BT212" s="131">
        <v>0.125</v>
      </c>
      <c r="BU212" s="131">
        <v>0.115</v>
      </c>
      <c r="BV212" s="131">
        <v>0.1</v>
      </c>
      <c r="BW212" s="131"/>
      <c r="BX212" s="131"/>
      <c r="BY212" s="131"/>
      <c r="BZ212" s="131"/>
    </row>
    <row r="213" spans="2:78" s="128" customFormat="1" ht="10.5" hidden="1" x14ac:dyDescent="0.25">
      <c r="B213" s="138">
        <v>133</v>
      </c>
      <c r="C213" s="130">
        <v>18</v>
      </c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>
        <v>70</v>
      </c>
      <c r="AK213" s="131">
        <v>52</v>
      </c>
      <c r="AL213" s="131">
        <v>42.5</v>
      </c>
      <c r="AM213" s="131">
        <v>36</v>
      </c>
      <c r="AN213" s="131">
        <v>30</v>
      </c>
      <c r="AO213" s="131">
        <v>24</v>
      </c>
      <c r="AP213" s="131">
        <v>20.5</v>
      </c>
      <c r="AQ213" s="131">
        <v>19</v>
      </c>
      <c r="AR213" s="131">
        <v>15</v>
      </c>
      <c r="AS213" s="131">
        <v>14</v>
      </c>
      <c r="AT213" s="131">
        <v>12</v>
      </c>
      <c r="AU213" s="131">
        <v>10</v>
      </c>
      <c r="AV213" s="131">
        <v>8</v>
      </c>
      <c r="AW213" s="131">
        <v>7</v>
      </c>
      <c r="AX213" s="131">
        <v>6.25</v>
      </c>
      <c r="AY213" s="131">
        <v>5.5</v>
      </c>
      <c r="AZ213" s="131">
        <v>5</v>
      </c>
      <c r="BA213" s="131">
        <v>3.8</v>
      </c>
      <c r="BB213" s="131">
        <v>2.9</v>
      </c>
      <c r="BC213" s="131">
        <v>2.4</v>
      </c>
      <c r="BD213" s="131">
        <v>1.9</v>
      </c>
      <c r="BE213" s="131">
        <v>1.5</v>
      </c>
      <c r="BF213" s="131">
        <v>1.25</v>
      </c>
      <c r="BG213" s="131">
        <v>1.05</v>
      </c>
      <c r="BH213" s="131">
        <v>0.85</v>
      </c>
      <c r="BI213" s="131">
        <v>0.7</v>
      </c>
      <c r="BJ213" s="131">
        <v>0.6</v>
      </c>
      <c r="BK213" s="131">
        <v>0.5</v>
      </c>
      <c r="BL213" s="131">
        <v>0.42499999999999999</v>
      </c>
      <c r="BM213" s="131">
        <v>0.38</v>
      </c>
      <c r="BN213" s="131">
        <v>0.32</v>
      </c>
      <c r="BO213" s="131">
        <v>28</v>
      </c>
      <c r="BP213" s="131">
        <v>0.24</v>
      </c>
      <c r="BQ213" s="131">
        <v>0.21</v>
      </c>
      <c r="BR213" s="131">
        <v>0.185</v>
      </c>
      <c r="BS213" s="131">
        <v>0.17</v>
      </c>
      <c r="BT213" s="131">
        <v>0.14000000000000001</v>
      </c>
      <c r="BU213" s="131">
        <v>0.1275</v>
      </c>
      <c r="BV213" s="131">
        <v>0.11</v>
      </c>
      <c r="BW213" s="131">
        <v>0.1</v>
      </c>
      <c r="BX213" s="131"/>
      <c r="BY213" s="131"/>
      <c r="BZ213" s="131"/>
    </row>
    <row r="214" spans="2:78" s="128" customFormat="1" ht="10.5" hidden="1" x14ac:dyDescent="0.25">
      <c r="B214" s="138">
        <v>134</v>
      </c>
      <c r="C214" s="130">
        <v>19</v>
      </c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>
        <v>77.5</v>
      </c>
      <c r="AK214" s="131">
        <v>57</v>
      </c>
      <c r="AL214" s="131">
        <v>47.5</v>
      </c>
      <c r="AM214" s="131">
        <v>40</v>
      </c>
      <c r="AN214" s="131">
        <v>33</v>
      </c>
      <c r="AO214" s="131">
        <v>26</v>
      </c>
      <c r="AP214" s="131">
        <v>23</v>
      </c>
      <c r="AQ214" s="131">
        <v>21</v>
      </c>
      <c r="AR214" s="131">
        <v>17</v>
      </c>
      <c r="AS214" s="131">
        <v>15.5</v>
      </c>
      <c r="AT214" s="131">
        <v>13</v>
      </c>
      <c r="AU214" s="131">
        <v>11</v>
      </c>
      <c r="AV214" s="131">
        <v>9</v>
      </c>
      <c r="AW214" s="131">
        <v>8</v>
      </c>
      <c r="AX214" s="131">
        <v>7</v>
      </c>
      <c r="AY214" s="131">
        <v>6.25</v>
      </c>
      <c r="AZ214" s="131">
        <v>5.5</v>
      </c>
      <c r="BA214" s="131">
        <v>4.25</v>
      </c>
      <c r="BB214" s="131">
        <v>3.1</v>
      </c>
      <c r="BC214" s="131">
        <v>2.8</v>
      </c>
      <c r="BD214" s="131">
        <v>2.1</v>
      </c>
      <c r="BE214" s="131">
        <v>1.7</v>
      </c>
      <c r="BF214" s="131">
        <v>1.35</v>
      </c>
      <c r="BG214" s="131">
        <v>1.1499999999999999</v>
      </c>
      <c r="BH214" s="131">
        <v>0.95</v>
      </c>
      <c r="BI214" s="131">
        <v>0.75</v>
      </c>
      <c r="BJ214" s="131">
        <v>0.67500000000000004</v>
      </c>
      <c r="BK214" s="131">
        <v>0.55000000000000004</v>
      </c>
      <c r="BL214" s="131">
        <v>0.47499999999999998</v>
      </c>
      <c r="BM214" s="131">
        <v>0.42499999999999999</v>
      </c>
      <c r="BN214" s="131">
        <v>0.35</v>
      </c>
      <c r="BO214" s="131">
        <v>0.31</v>
      </c>
      <c r="BP214" s="131">
        <v>0.27</v>
      </c>
      <c r="BQ214" s="131">
        <v>0.24</v>
      </c>
      <c r="BR214" s="131">
        <v>0.21</v>
      </c>
      <c r="BS214" s="131">
        <v>0.185</v>
      </c>
      <c r="BT214" s="131">
        <v>0.155</v>
      </c>
      <c r="BU214" s="131">
        <v>0.14000000000000001</v>
      </c>
      <c r="BV214" s="131">
        <v>0.12</v>
      </c>
      <c r="BW214" s="131">
        <v>0.11</v>
      </c>
      <c r="BX214" s="131">
        <v>0.1</v>
      </c>
      <c r="BY214" s="131"/>
      <c r="BZ214" s="131"/>
    </row>
    <row r="215" spans="2:78" s="128" customFormat="1" ht="10.5" hidden="1" x14ac:dyDescent="0.25">
      <c r="B215" s="138">
        <v>135</v>
      </c>
      <c r="C215" s="130">
        <v>20</v>
      </c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131"/>
      <c r="AB215" s="131"/>
      <c r="AC215" s="131"/>
      <c r="AD215" s="131"/>
      <c r="AE215" s="131"/>
      <c r="AF215" s="131"/>
      <c r="AG215" s="131"/>
      <c r="AH215" s="131"/>
      <c r="AI215" s="131"/>
      <c r="AJ215" s="131"/>
      <c r="AK215" s="131">
        <v>63</v>
      </c>
      <c r="AL215" s="131">
        <v>54</v>
      </c>
      <c r="AM215" s="131">
        <v>44</v>
      </c>
      <c r="AN215" s="131">
        <v>36</v>
      </c>
      <c r="AO215" s="131">
        <v>28</v>
      </c>
      <c r="AP215" s="131">
        <v>26</v>
      </c>
      <c r="AQ215" s="131">
        <v>24</v>
      </c>
      <c r="AR215" s="131">
        <v>18.5</v>
      </c>
      <c r="AS215" s="131">
        <v>17</v>
      </c>
      <c r="AT215" s="131">
        <v>15</v>
      </c>
      <c r="AU215" s="131">
        <v>12</v>
      </c>
      <c r="AV215" s="131">
        <v>10</v>
      </c>
      <c r="AW215" s="131">
        <v>9</v>
      </c>
      <c r="AX215" s="131">
        <v>7.75</v>
      </c>
      <c r="AY215" s="131">
        <v>7</v>
      </c>
      <c r="AZ215" s="131">
        <v>6</v>
      </c>
      <c r="BA215" s="131">
        <v>4.5999999999999996</v>
      </c>
      <c r="BB215" s="131">
        <v>3.3</v>
      </c>
      <c r="BC215" s="131">
        <v>3</v>
      </c>
      <c r="BD215" s="131">
        <v>2.2999999999999998</v>
      </c>
      <c r="BE215" s="131">
        <v>1.85</v>
      </c>
      <c r="BF215" s="131">
        <v>1.5</v>
      </c>
      <c r="BG215" s="131">
        <v>1.3</v>
      </c>
      <c r="BH215" s="131">
        <v>1.05</v>
      </c>
      <c r="BI215" s="131">
        <v>0.85</v>
      </c>
      <c r="BJ215" s="131">
        <v>0.75</v>
      </c>
      <c r="BK215" s="131">
        <v>0.65</v>
      </c>
      <c r="BL215" s="131">
        <v>0.52500000000000002</v>
      </c>
      <c r="BM215" s="131">
        <v>0.47499999999999998</v>
      </c>
      <c r="BN215" s="131">
        <v>0.38</v>
      </c>
      <c r="BO215" s="131">
        <v>0.35</v>
      </c>
      <c r="BP215" s="131">
        <v>0.3</v>
      </c>
      <c r="BQ215" s="131">
        <v>0.26</v>
      </c>
      <c r="BR215" s="131">
        <v>0.23</v>
      </c>
      <c r="BS215" s="131">
        <v>0.2</v>
      </c>
      <c r="BT215" s="131">
        <v>0.17</v>
      </c>
      <c r="BU215" s="131">
        <v>0.155</v>
      </c>
      <c r="BV215" s="131">
        <v>0.13500000000000001</v>
      </c>
      <c r="BW215" s="131">
        <v>0.12</v>
      </c>
      <c r="BX215" s="131">
        <v>0.11</v>
      </c>
      <c r="BY215" s="131">
        <v>0.1</v>
      </c>
      <c r="BZ215" s="131"/>
    </row>
    <row r="216" spans="2:78" s="128" customFormat="1" ht="10.5" hidden="1" x14ac:dyDescent="0.25">
      <c r="B216" s="138">
        <v>136</v>
      </c>
      <c r="C216" s="130">
        <v>21</v>
      </c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  <c r="AA216" s="131"/>
      <c r="AB216" s="131"/>
      <c r="AC216" s="131"/>
      <c r="AD216" s="131"/>
      <c r="AE216" s="131"/>
      <c r="AF216" s="131"/>
      <c r="AG216" s="131"/>
      <c r="AH216" s="131"/>
      <c r="AI216" s="131"/>
      <c r="AJ216" s="131"/>
      <c r="AK216" s="131">
        <v>70</v>
      </c>
      <c r="AL216" s="131">
        <v>60</v>
      </c>
      <c r="AM216" s="131">
        <v>48</v>
      </c>
      <c r="AN216" s="131">
        <v>40</v>
      </c>
      <c r="AO216" s="131">
        <v>31</v>
      </c>
      <c r="AP216" s="131">
        <v>28</v>
      </c>
      <c r="AQ216" s="131">
        <v>27</v>
      </c>
      <c r="AR216" s="131">
        <v>20</v>
      </c>
      <c r="AS216" s="131">
        <v>19</v>
      </c>
      <c r="AT216" s="131">
        <v>16.5</v>
      </c>
      <c r="AU216" s="131">
        <v>13.5</v>
      </c>
      <c r="AV216" s="131">
        <v>11</v>
      </c>
      <c r="AW216" s="131">
        <v>10</v>
      </c>
      <c r="AX216" s="131">
        <v>8.5</v>
      </c>
      <c r="AY216" s="131">
        <v>7.5</v>
      </c>
      <c r="AZ216" s="131">
        <v>6.75</v>
      </c>
      <c r="BA216" s="131">
        <v>5</v>
      </c>
      <c r="BB216" s="131">
        <v>3.8</v>
      </c>
      <c r="BC216" s="131">
        <v>3.3</v>
      </c>
      <c r="BD216" s="131">
        <v>2.6</v>
      </c>
      <c r="BE216" s="131">
        <v>2</v>
      </c>
      <c r="BF216" s="131">
        <v>1.65</v>
      </c>
      <c r="BG216" s="131">
        <v>1.4</v>
      </c>
      <c r="BH216" s="131">
        <v>1.1499999999999999</v>
      </c>
      <c r="BI216" s="131">
        <v>0.92500000000000004</v>
      </c>
      <c r="BJ216" s="131">
        <v>0.8</v>
      </c>
      <c r="BK216" s="131">
        <v>0.72499999999999998</v>
      </c>
      <c r="BL216" s="131">
        <v>0.57499999999999996</v>
      </c>
      <c r="BM216" s="131">
        <v>0.5</v>
      </c>
      <c r="BN216" s="131">
        <v>0.42499999999999999</v>
      </c>
      <c r="BO216" s="131">
        <v>0.38</v>
      </c>
      <c r="BP216" s="131">
        <v>0.32</v>
      </c>
      <c r="BQ216" s="131">
        <v>0.28000000000000003</v>
      </c>
      <c r="BR216" s="131">
        <v>0.26</v>
      </c>
      <c r="BS216" s="131">
        <v>0.22</v>
      </c>
      <c r="BT216" s="131">
        <v>0.19</v>
      </c>
      <c r="BU216" s="131">
        <v>0.17</v>
      </c>
      <c r="BV216" s="131">
        <v>0.15</v>
      </c>
      <c r="BW216" s="131">
        <v>0.13500000000000001</v>
      </c>
      <c r="BX216" s="131">
        <v>0.12</v>
      </c>
      <c r="BY216" s="131">
        <v>0.1</v>
      </c>
      <c r="BZ216" s="131"/>
    </row>
    <row r="217" spans="2:78" s="128" customFormat="1" ht="10.5" hidden="1" x14ac:dyDescent="0.25">
      <c r="B217" s="138">
        <v>137</v>
      </c>
      <c r="C217" s="130">
        <v>22</v>
      </c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  <c r="AA217" s="131"/>
      <c r="AB217" s="131"/>
      <c r="AC217" s="131"/>
      <c r="AD217" s="131"/>
      <c r="AE217" s="131"/>
      <c r="AF217" s="131"/>
      <c r="AG217" s="131"/>
      <c r="AH217" s="131"/>
      <c r="AI217" s="131"/>
      <c r="AJ217" s="131"/>
      <c r="AK217" s="131">
        <v>75</v>
      </c>
      <c r="AL217" s="131">
        <v>65</v>
      </c>
      <c r="AM217" s="131">
        <v>54</v>
      </c>
      <c r="AN217" s="131">
        <v>45</v>
      </c>
      <c r="AO217" s="131">
        <v>34</v>
      </c>
      <c r="AP217" s="131">
        <v>30</v>
      </c>
      <c r="AQ217" s="131">
        <v>30</v>
      </c>
      <c r="AR217" s="131">
        <v>22</v>
      </c>
      <c r="AS217" s="131">
        <v>21</v>
      </c>
      <c r="AT217" s="131">
        <v>18</v>
      </c>
      <c r="AU217" s="131">
        <v>15</v>
      </c>
      <c r="AV217" s="131">
        <v>12</v>
      </c>
      <c r="AW217" s="131">
        <v>11</v>
      </c>
      <c r="AX217" s="131">
        <v>9.5</v>
      </c>
      <c r="AY217" s="131">
        <v>8.5</v>
      </c>
      <c r="AZ217" s="131">
        <v>7.5</v>
      </c>
      <c r="BA217" s="131">
        <v>5.5</v>
      </c>
      <c r="BB217" s="131">
        <v>4</v>
      </c>
      <c r="BC217" s="131">
        <v>3.6</v>
      </c>
      <c r="BD217" s="131">
        <v>2.8</v>
      </c>
      <c r="BE217" s="131">
        <v>2.2000000000000002</v>
      </c>
      <c r="BF217" s="131">
        <v>1.8</v>
      </c>
      <c r="BG217" s="131">
        <v>1.55</v>
      </c>
      <c r="BH217" s="131">
        <v>1.3</v>
      </c>
      <c r="BI217" s="131">
        <v>1</v>
      </c>
      <c r="BJ217" s="131">
        <v>0.9</v>
      </c>
      <c r="BK217" s="131">
        <v>0.8</v>
      </c>
      <c r="BL217" s="131">
        <v>0.625</v>
      </c>
      <c r="BM217" s="131">
        <v>0.55000000000000004</v>
      </c>
      <c r="BN217" s="131">
        <v>0.47499999999999998</v>
      </c>
      <c r="BO217" s="131">
        <v>0.42499999999999999</v>
      </c>
      <c r="BP217" s="131">
        <v>0.35</v>
      </c>
      <c r="BQ217" s="131">
        <v>0.31</v>
      </c>
      <c r="BR217" s="131">
        <v>0.28000000000000003</v>
      </c>
      <c r="BS217" s="131">
        <v>0.24</v>
      </c>
      <c r="BT217" s="131">
        <v>0.21</v>
      </c>
      <c r="BU217" s="131">
        <v>0.185</v>
      </c>
      <c r="BV217" s="131">
        <v>0.16</v>
      </c>
      <c r="BW217" s="131">
        <v>0.14499999999999999</v>
      </c>
      <c r="BX217" s="131">
        <v>0.13</v>
      </c>
      <c r="BY217" s="131">
        <v>0.12</v>
      </c>
      <c r="BZ217" s="131">
        <v>0.1</v>
      </c>
    </row>
    <row r="218" spans="2:78" s="128" customFormat="1" ht="10.5" hidden="1" x14ac:dyDescent="0.25">
      <c r="B218" s="138">
        <v>138</v>
      </c>
      <c r="C218" s="130">
        <v>23</v>
      </c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  <c r="AA218" s="131"/>
      <c r="AB218" s="131"/>
      <c r="AC218" s="131"/>
      <c r="AD218" s="131"/>
      <c r="AE218" s="131"/>
      <c r="AF218" s="131"/>
      <c r="AG218" s="131"/>
      <c r="AH218" s="131"/>
      <c r="AI218" s="131"/>
      <c r="AJ218" s="131"/>
      <c r="AK218" s="131">
        <v>80</v>
      </c>
      <c r="AL218" s="131">
        <v>70</v>
      </c>
      <c r="AM218" s="131">
        <v>58</v>
      </c>
      <c r="AN218" s="131">
        <v>50</v>
      </c>
      <c r="AO218" s="131">
        <v>37</v>
      </c>
      <c r="AP218" s="131">
        <v>33</v>
      </c>
      <c r="AQ218" s="131">
        <v>32</v>
      </c>
      <c r="AR218" s="131">
        <v>25</v>
      </c>
      <c r="AS218" s="131">
        <v>23</v>
      </c>
      <c r="AT218" s="131">
        <v>20</v>
      </c>
      <c r="AU218" s="131">
        <v>16</v>
      </c>
      <c r="AV218" s="131">
        <v>13</v>
      </c>
      <c r="AW218" s="131">
        <v>12</v>
      </c>
      <c r="AX218" s="131">
        <v>10</v>
      </c>
      <c r="AY218" s="131">
        <v>9</v>
      </c>
      <c r="AZ218" s="131">
        <v>8.25</v>
      </c>
      <c r="BA218" s="131">
        <v>6</v>
      </c>
      <c r="BB218" s="131">
        <v>4.25</v>
      </c>
      <c r="BC218" s="131">
        <v>4</v>
      </c>
      <c r="BD218" s="131">
        <v>3</v>
      </c>
      <c r="BE218" s="131">
        <v>2.4</v>
      </c>
      <c r="BF218" s="131">
        <v>2</v>
      </c>
      <c r="BG218" s="131">
        <v>1.65</v>
      </c>
      <c r="BH218" s="131">
        <v>1.4</v>
      </c>
      <c r="BI218" s="131">
        <v>1.1000000000000001</v>
      </c>
      <c r="BJ218" s="131">
        <v>1</v>
      </c>
      <c r="BK218" s="131">
        <v>0.85</v>
      </c>
      <c r="BL218" s="131">
        <v>0.7</v>
      </c>
      <c r="BM218" s="131">
        <v>0.6</v>
      </c>
      <c r="BN218" s="131">
        <v>0.5</v>
      </c>
      <c r="BO218" s="131">
        <v>0.45</v>
      </c>
      <c r="BP218" s="131">
        <v>0.38</v>
      </c>
      <c r="BQ218" s="131">
        <v>0.34</v>
      </c>
      <c r="BR218" s="131">
        <v>0.3</v>
      </c>
      <c r="BS218" s="131">
        <v>0.26</v>
      </c>
      <c r="BT218" s="131">
        <v>0.23</v>
      </c>
      <c r="BU218" s="131">
        <v>0.2</v>
      </c>
      <c r="BV218" s="131">
        <v>0.17499999999999999</v>
      </c>
      <c r="BW218" s="131">
        <v>0.1575</v>
      </c>
      <c r="BX218" s="131">
        <v>0.14000000000000001</v>
      </c>
      <c r="BY218" s="131">
        <v>0.13</v>
      </c>
      <c r="BZ218" s="131">
        <v>0.11</v>
      </c>
    </row>
    <row r="219" spans="2:78" s="128" customFormat="1" ht="10.5" hidden="1" x14ac:dyDescent="0.25">
      <c r="B219" s="138">
        <v>139</v>
      </c>
      <c r="C219" s="130">
        <v>24</v>
      </c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  <c r="AA219" s="131"/>
      <c r="AB219" s="131"/>
      <c r="AC219" s="131"/>
      <c r="AD219" s="131"/>
      <c r="AE219" s="131"/>
      <c r="AF219" s="131"/>
      <c r="AG219" s="131"/>
      <c r="AH219" s="131"/>
      <c r="AI219" s="131"/>
      <c r="AJ219" s="131"/>
      <c r="AK219" s="131"/>
      <c r="AL219" s="131">
        <v>76</v>
      </c>
      <c r="AM219" s="131">
        <v>64</v>
      </c>
      <c r="AN219" s="131">
        <v>55</v>
      </c>
      <c r="AO219" s="131">
        <v>40</v>
      </c>
      <c r="AP219" s="131">
        <v>35</v>
      </c>
      <c r="AQ219" s="131">
        <v>34</v>
      </c>
      <c r="AR219" s="131">
        <v>27</v>
      </c>
      <c r="AS219" s="131">
        <v>24</v>
      </c>
      <c r="AT219" s="131">
        <v>21</v>
      </c>
      <c r="AU219" s="131">
        <v>18</v>
      </c>
      <c r="AV219" s="131">
        <v>14</v>
      </c>
      <c r="AW219" s="131">
        <v>13</v>
      </c>
      <c r="AX219" s="131">
        <v>11</v>
      </c>
      <c r="AY219" s="131">
        <v>10</v>
      </c>
      <c r="AZ219" s="131">
        <v>9</v>
      </c>
      <c r="BA219" s="131">
        <v>6.5</v>
      </c>
      <c r="BB219" s="131">
        <v>4.5999999999999996</v>
      </c>
      <c r="BC219" s="131">
        <v>4.25</v>
      </c>
      <c r="BD219" s="131">
        <v>3.3</v>
      </c>
      <c r="BE219" s="131">
        <v>2.6</v>
      </c>
      <c r="BF219" s="131">
        <v>2.1</v>
      </c>
      <c r="BG219" s="131">
        <v>1.8</v>
      </c>
      <c r="BH219" s="131">
        <v>1.5</v>
      </c>
      <c r="BI219" s="131">
        <v>1.2</v>
      </c>
      <c r="BJ219" s="131">
        <v>1.05</v>
      </c>
      <c r="BK219" s="131">
        <v>0.92500000000000004</v>
      </c>
      <c r="BL219" s="131">
        <v>0.75</v>
      </c>
      <c r="BM219" s="131">
        <v>0.65</v>
      </c>
      <c r="BN219" s="131">
        <v>0.55000000000000004</v>
      </c>
      <c r="BO219" s="131">
        <v>0.47499999999999998</v>
      </c>
      <c r="BP219" s="131">
        <v>0.4</v>
      </c>
      <c r="BQ219" s="131">
        <v>0.37</v>
      </c>
      <c r="BR219" s="131">
        <v>0.33</v>
      </c>
      <c r="BS219" s="131">
        <v>0.28000000000000003</v>
      </c>
      <c r="BT219" s="131">
        <v>0.24</v>
      </c>
      <c r="BU219" s="131">
        <v>0.22</v>
      </c>
      <c r="BV219" s="131">
        <v>0.19</v>
      </c>
      <c r="BW219" s="131">
        <v>0.17</v>
      </c>
      <c r="BX219" s="131">
        <v>0.15</v>
      </c>
      <c r="BY219" s="131">
        <v>0.14000000000000001</v>
      </c>
      <c r="BZ219" s="131">
        <v>0.12</v>
      </c>
    </row>
    <row r="220" spans="2:78" s="128" customFormat="1" ht="10.5" hidden="1" x14ac:dyDescent="0.25">
      <c r="B220" s="138">
        <v>140</v>
      </c>
      <c r="C220" s="130">
        <v>25</v>
      </c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131"/>
      <c r="AB220" s="131"/>
      <c r="AC220" s="131"/>
      <c r="AD220" s="131"/>
      <c r="AE220" s="131"/>
      <c r="AF220" s="131"/>
      <c r="AG220" s="131"/>
      <c r="AH220" s="131"/>
      <c r="AI220" s="131"/>
      <c r="AJ220" s="131"/>
      <c r="AK220" s="131"/>
      <c r="AL220" s="131">
        <v>80</v>
      </c>
      <c r="AM220" s="131">
        <v>68</v>
      </c>
      <c r="AN220" s="131">
        <v>60</v>
      </c>
      <c r="AO220" s="131">
        <v>43</v>
      </c>
      <c r="AP220" s="131">
        <v>38</v>
      </c>
      <c r="AQ220" s="131">
        <v>38</v>
      </c>
      <c r="AR220" s="131">
        <v>28</v>
      </c>
      <c r="AS220" s="131">
        <v>26</v>
      </c>
      <c r="AT220" s="131">
        <v>23</v>
      </c>
      <c r="AU220" s="131">
        <v>19</v>
      </c>
      <c r="AV220" s="131">
        <v>15</v>
      </c>
      <c r="AW220" s="131">
        <v>14</v>
      </c>
      <c r="AX220" s="131">
        <v>12</v>
      </c>
      <c r="AY220" s="131">
        <v>10.5</v>
      </c>
      <c r="AZ220" s="131">
        <v>9.5</v>
      </c>
      <c r="BA220" s="131">
        <v>7</v>
      </c>
      <c r="BB220" s="131">
        <v>5</v>
      </c>
      <c r="BC220" s="131">
        <v>4.5</v>
      </c>
      <c r="BD220" s="131">
        <v>3.5</v>
      </c>
      <c r="BE220" s="131">
        <v>2.8</v>
      </c>
      <c r="BF220" s="131">
        <v>2.2999999999999998</v>
      </c>
      <c r="BG220" s="131">
        <v>1.95</v>
      </c>
      <c r="BH220" s="131">
        <v>1.6</v>
      </c>
      <c r="BI220" s="131">
        <v>1.3</v>
      </c>
      <c r="BJ220" s="131">
        <v>1.1499999999999999</v>
      </c>
      <c r="BK220" s="131">
        <v>1</v>
      </c>
      <c r="BL220" s="131">
        <v>0.8</v>
      </c>
      <c r="BM220" s="131">
        <v>0.7</v>
      </c>
      <c r="BN220" s="131">
        <v>0.6</v>
      </c>
      <c r="BO220" s="131">
        <v>0.52500000000000002</v>
      </c>
      <c r="BP220" s="131">
        <v>0.42499999999999999</v>
      </c>
      <c r="BQ220" s="131">
        <v>0.4</v>
      </c>
      <c r="BR220" s="131">
        <v>0.35</v>
      </c>
      <c r="BS220" s="131">
        <v>0.3</v>
      </c>
      <c r="BT220" s="131">
        <v>0.26</v>
      </c>
      <c r="BU220" s="131">
        <v>0.24</v>
      </c>
      <c r="BV220" s="131">
        <v>0.2</v>
      </c>
      <c r="BW220" s="131">
        <v>0.18</v>
      </c>
      <c r="BX220" s="131">
        <v>0.16500000000000001</v>
      </c>
      <c r="BY220" s="131">
        <v>0.15</v>
      </c>
      <c r="BZ220" s="131">
        <v>0.13</v>
      </c>
    </row>
    <row r="221" spans="2:78" s="128" customFormat="1" ht="10.5" hidden="1" x14ac:dyDescent="0.25">
      <c r="B221" s="138">
        <v>141</v>
      </c>
      <c r="C221" s="130">
        <v>26</v>
      </c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  <c r="AA221" s="131"/>
      <c r="AB221" s="131"/>
      <c r="AC221" s="131"/>
      <c r="AD221" s="131"/>
      <c r="AE221" s="131"/>
      <c r="AF221" s="131"/>
      <c r="AG221" s="131"/>
      <c r="AH221" s="131"/>
      <c r="AI221" s="131"/>
      <c r="AJ221" s="131"/>
      <c r="AK221" s="131"/>
      <c r="AL221" s="131"/>
      <c r="AM221" s="131">
        <v>73</v>
      </c>
      <c r="AN221" s="131">
        <v>62.5</v>
      </c>
      <c r="AO221" s="131">
        <v>47</v>
      </c>
      <c r="AP221" s="131">
        <v>42</v>
      </c>
      <c r="AQ221" s="131">
        <v>40</v>
      </c>
      <c r="AR221" s="131">
        <v>31</v>
      </c>
      <c r="AS221" s="131">
        <v>28</v>
      </c>
      <c r="AT221" s="131">
        <v>25</v>
      </c>
      <c r="AU221" s="131">
        <v>20</v>
      </c>
      <c r="AV221" s="131">
        <v>16.5</v>
      </c>
      <c r="AW221" s="131">
        <v>15</v>
      </c>
      <c r="AX221" s="131">
        <v>13</v>
      </c>
      <c r="AY221" s="131">
        <v>11.5</v>
      </c>
      <c r="AZ221" s="131">
        <v>10.25</v>
      </c>
      <c r="BA221" s="131">
        <v>7.5</v>
      </c>
      <c r="BB221" s="131">
        <v>5.4</v>
      </c>
      <c r="BC221" s="131">
        <v>5</v>
      </c>
      <c r="BD221" s="131">
        <v>3.8</v>
      </c>
      <c r="BE221" s="131">
        <v>3</v>
      </c>
      <c r="BF221" s="131">
        <v>2.5</v>
      </c>
      <c r="BG221" s="131">
        <v>2.1</v>
      </c>
      <c r="BH221" s="131">
        <v>1.75</v>
      </c>
      <c r="BI221" s="131">
        <v>1.5</v>
      </c>
      <c r="BJ221" s="131">
        <v>1.2</v>
      </c>
      <c r="BK221" s="131">
        <v>1.05</v>
      </c>
      <c r="BL221" s="131">
        <v>0.875</v>
      </c>
      <c r="BM221" s="131">
        <v>0.75</v>
      </c>
      <c r="BN221" s="131">
        <v>0.65</v>
      </c>
      <c r="BO221" s="131">
        <v>0.57499999999999996</v>
      </c>
      <c r="BP221" s="131">
        <v>0.47499999999999998</v>
      </c>
      <c r="BQ221" s="131">
        <v>0.42499999999999999</v>
      </c>
      <c r="BR221" s="131">
        <v>0.38</v>
      </c>
      <c r="BS221" s="131">
        <v>0.33</v>
      </c>
      <c r="BT221" s="131">
        <v>0.28000000000000003</v>
      </c>
      <c r="BU221" s="131">
        <v>0.26</v>
      </c>
      <c r="BV221" s="131">
        <v>0.2175</v>
      </c>
      <c r="BW221" s="131">
        <v>0.2</v>
      </c>
      <c r="BX221" s="131">
        <v>0.18</v>
      </c>
      <c r="BY221" s="131">
        <v>0.16</v>
      </c>
      <c r="BZ221" s="131">
        <v>0.14000000000000001</v>
      </c>
    </row>
    <row r="222" spans="2:78" s="128" customFormat="1" ht="10.5" hidden="1" x14ac:dyDescent="0.25">
      <c r="B222" s="138">
        <v>142</v>
      </c>
      <c r="C222" s="130">
        <v>27</v>
      </c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  <c r="AA222" s="131"/>
      <c r="AB222" s="131"/>
      <c r="AC222" s="131"/>
      <c r="AD222" s="131"/>
      <c r="AE222" s="131"/>
      <c r="AF222" s="131"/>
      <c r="AG222" s="131"/>
      <c r="AH222" s="131"/>
      <c r="AI222" s="131"/>
      <c r="AJ222" s="131"/>
      <c r="AK222" s="131"/>
      <c r="AL222" s="131"/>
      <c r="AM222" s="131">
        <v>78</v>
      </c>
      <c r="AN222" s="131">
        <v>68</v>
      </c>
      <c r="AO222" s="131">
        <v>50</v>
      </c>
      <c r="AP222" s="131">
        <v>45</v>
      </c>
      <c r="AQ222" s="131">
        <v>42.5</v>
      </c>
      <c r="AR222" s="131">
        <v>33</v>
      </c>
      <c r="AS222" s="131">
        <v>30</v>
      </c>
      <c r="AT222" s="131">
        <v>26</v>
      </c>
      <c r="AU222" s="131">
        <v>22</v>
      </c>
      <c r="AV222" s="131">
        <v>18</v>
      </c>
      <c r="AW222" s="131">
        <v>16</v>
      </c>
      <c r="AX222" s="131">
        <v>14</v>
      </c>
      <c r="AY222" s="131">
        <v>12</v>
      </c>
      <c r="AZ222" s="131">
        <v>11</v>
      </c>
      <c r="BA222" s="131">
        <v>8</v>
      </c>
      <c r="BB222" s="131">
        <v>5.75</v>
      </c>
      <c r="BC222" s="131">
        <v>5.25</v>
      </c>
      <c r="BD222" s="131">
        <v>4.25</v>
      </c>
      <c r="BE222" s="131">
        <v>3.2</v>
      </c>
      <c r="BF222" s="131">
        <v>2.7</v>
      </c>
      <c r="BG222" s="131">
        <v>2.2999999999999998</v>
      </c>
      <c r="BH222" s="131">
        <v>1.9</v>
      </c>
      <c r="BI222" s="131">
        <v>1.6</v>
      </c>
      <c r="BJ222" s="131">
        <v>1.3</v>
      </c>
      <c r="BK222" s="131">
        <v>1.1499999999999999</v>
      </c>
      <c r="BL222" s="131">
        <v>0.95</v>
      </c>
      <c r="BM222" s="131">
        <v>0.8</v>
      </c>
      <c r="BN222" s="131">
        <v>0.7</v>
      </c>
      <c r="BO222" s="131">
        <v>0.6</v>
      </c>
      <c r="BP222" s="131">
        <v>0.5</v>
      </c>
      <c r="BQ222" s="131">
        <v>0.47499999999999998</v>
      </c>
      <c r="BR222" s="131">
        <v>0.4</v>
      </c>
      <c r="BS222" s="131">
        <v>0.35</v>
      </c>
      <c r="BT222" s="131">
        <v>0.3</v>
      </c>
      <c r="BU222" s="131">
        <v>0.28499999999999998</v>
      </c>
      <c r="BV222" s="131">
        <v>0.23</v>
      </c>
      <c r="BW222" s="131">
        <v>0.21</v>
      </c>
      <c r="BX222" s="131">
        <v>0.19</v>
      </c>
      <c r="BY222" s="131">
        <v>0.17</v>
      </c>
      <c r="BZ222" s="131">
        <v>0.15</v>
      </c>
    </row>
    <row r="223" spans="2:78" s="128" customFormat="1" ht="10.5" hidden="1" x14ac:dyDescent="0.25">
      <c r="B223" s="138">
        <v>143</v>
      </c>
      <c r="C223" s="130">
        <v>28</v>
      </c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  <c r="AA223" s="131"/>
      <c r="AB223" s="131"/>
      <c r="AC223" s="131"/>
      <c r="AD223" s="131"/>
      <c r="AE223" s="131"/>
      <c r="AF223" s="131"/>
      <c r="AG223" s="131"/>
      <c r="AH223" s="131"/>
      <c r="AI223" s="131"/>
      <c r="AJ223" s="131"/>
      <c r="AK223" s="131"/>
      <c r="AL223" s="131"/>
      <c r="AM223" s="131"/>
      <c r="AN223" s="131">
        <v>72.5</v>
      </c>
      <c r="AO223" s="131">
        <v>53</v>
      </c>
      <c r="AP223" s="131">
        <v>48</v>
      </c>
      <c r="AQ223" s="131">
        <v>47.5</v>
      </c>
      <c r="AR223" s="131">
        <v>36</v>
      </c>
      <c r="AS223" s="131">
        <v>32</v>
      </c>
      <c r="AT223" s="131">
        <v>28</v>
      </c>
      <c r="AU223" s="131">
        <v>24</v>
      </c>
      <c r="AV223" s="131">
        <v>18</v>
      </c>
      <c r="AW223" s="131">
        <v>17</v>
      </c>
      <c r="AX223" s="131">
        <v>15</v>
      </c>
      <c r="AY223" s="131">
        <v>13</v>
      </c>
      <c r="AZ223" s="131">
        <v>12</v>
      </c>
      <c r="BA223" s="131">
        <v>8.5</v>
      </c>
      <c r="BB223" s="131">
        <v>6.25</v>
      </c>
      <c r="BC223" s="131">
        <v>5.75</v>
      </c>
      <c r="BD223" s="131">
        <v>4.5</v>
      </c>
      <c r="BE223" s="131">
        <v>3.4</v>
      </c>
      <c r="BF223" s="131">
        <v>2.9</v>
      </c>
      <c r="BG223" s="131">
        <v>2.4</v>
      </c>
      <c r="BH223" s="131">
        <v>2</v>
      </c>
      <c r="BI223" s="131">
        <v>1.7</v>
      </c>
      <c r="BJ223" s="131">
        <v>1.4</v>
      </c>
      <c r="BK223" s="131">
        <v>1.25</v>
      </c>
      <c r="BL223" s="131">
        <v>1</v>
      </c>
      <c r="BM223" s="131">
        <v>0.85</v>
      </c>
      <c r="BN223" s="131">
        <v>0.75</v>
      </c>
      <c r="BO223" s="131">
        <v>0.65</v>
      </c>
      <c r="BP223" s="131">
        <v>0.52500000000000002</v>
      </c>
      <c r="BQ223" s="131">
        <v>0.5</v>
      </c>
      <c r="BR223" s="131">
        <v>0.45</v>
      </c>
      <c r="BS223" s="131">
        <v>0.38</v>
      </c>
      <c r="BT223" s="131">
        <v>0.32</v>
      </c>
      <c r="BU223" s="131">
        <v>0.29499999999999998</v>
      </c>
      <c r="BV223" s="131">
        <v>0.24</v>
      </c>
      <c r="BW223" s="131">
        <v>0.23</v>
      </c>
      <c r="BX223" s="131">
        <v>0.2</v>
      </c>
      <c r="BY223" s="131">
        <v>0.185</v>
      </c>
      <c r="BZ223" s="131">
        <v>0.16</v>
      </c>
    </row>
    <row r="224" spans="2:78" s="128" customFormat="1" ht="10.5" hidden="1" x14ac:dyDescent="0.25">
      <c r="B224" s="138">
        <v>144</v>
      </c>
      <c r="C224" s="130">
        <v>29</v>
      </c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  <c r="AA224" s="131"/>
      <c r="AB224" s="131"/>
      <c r="AC224" s="131"/>
      <c r="AD224" s="131"/>
      <c r="AE224" s="131"/>
      <c r="AF224" s="131"/>
      <c r="AG224" s="131"/>
      <c r="AH224" s="131"/>
      <c r="AI224" s="131"/>
      <c r="AJ224" s="131"/>
      <c r="AK224" s="131"/>
      <c r="AL224" s="131"/>
      <c r="AM224" s="131"/>
      <c r="AN224" s="131">
        <v>80</v>
      </c>
      <c r="AO224" s="131">
        <v>60</v>
      </c>
      <c r="AP224" s="131">
        <v>51</v>
      </c>
      <c r="AQ224" s="131">
        <v>50</v>
      </c>
      <c r="AR224" s="131">
        <v>38</v>
      </c>
      <c r="AS224" s="131">
        <v>34</v>
      </c>
      <c r="AT224" s="131">
        <v>30</v>
      </c>
      <c r="AU224" s="131">
        <v>25</v>
      </c>
      <c r="AV224" s="131">
        <v>20</v>
      </c>
      <c r="AW224" s="131">
        <v>19</v>
      </c>
      <c r="AX224" s="131">
        <v>16</v>
      </c>
      <c r="AY224" s="131">
        <v>14</v>
      </c>
      <c r="AZ224" s="131">
        <v>13</v>
      </c>
      <c r="BA224" s="131">
        <v>9</v>
      </c>
      <c r="BB224" s="131">
        <v>6.5</v>
      </c>
      <c r="BC224" s="131">
        <v>6</v>
      </c>
      <c r="BD224" s="131">
        <v>4.75</v>
      </c>
      <c r="BE224" s="131">
        <v>3.7</v>
      </c>
      <c r="BF224" s="131">
        <v>3</v>
      </c>
      <c r="BG224" s="131">
        <v>2.6</v>
      </c>
      <c r="BH224" s="131">
        <v>2.1</v>
      </c>
      <c r="BI224" s="131">
        <v>1.8</v>
      </c>
      <c r="BJ224" s="131">
        <v>1.5</v>
      </c>
      <c r="BK224" s="131">
        <v>1.3</v>
      </c>
      <c r="BL224" s="131">
        <v>1.05</v>
      </c>
      <c r="BM224" s="131">
        <v>0.9</v>
      </c>
      <c r="BN224" s="131">
        <v>0.8</v>
      </c>
      <c r="BO224" s="131">
        <v>0.7</v>
      </c>
      <c r="BP224" s="131">
        <v>0.55000000000000004</v>
      </c>
      <c r="BQ224" s="131">
        <v>0.52500000000000002</v>
      </c>
      <c r="BR224" s="131">
        <v>0.47499999999999998</v>
      </c>
      <c r="BS224" s="131">
        <v>0.4</v>
      </c>
      <c r="BT224" s="131">
        <v>0.34</v>
      </c>
      <c r="BU224" s="131">
        <v>0.31</v>
      </c>
      <c r="BV224" s="131">
        <v>0.26</v>
      </c>
      <c r="BW224" s="131">
        <v>0.24</v>
      </c>
      <c r="BX224" s="131">
        <v>0.2175</v>
      </c>
      <c r="BY224" s="131">
        <v>0.2</v>
      </c>
      <c r="BZ224" s="131">
        <v>0.17</v>
      </c>
    </row>
    <row r="225" spans="2:78" s="128" customFormat="1" ht="10.5" hidden="1" x14ac:dyDescent="0.25">
      <c r="B225" s="138">
        <v>145</v>
      </c>
      <c r="C225" s="130">
        <v>30</v>
      </c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  <c r="AA225" s="131"/>
      <c r="AB225" s="131"/>
      <c r="AC225" s="131"/>
      <c r="AD225" s="131"/>
      <c r="AE225" s="131"/>
      <c r="AF225" s="131"/>
      <c r="AG225" s="131"/>
      <c r="AH225" s="131"/>
      <c r="AI225" s="131"/>
      <c r="AJ225" s="131"/>
      <c r="AK225" s="131"/>
      <c r="AL225" s="131"/>
      <c r="AM225" s="131"/>
      <c r="AN225" s="131"/>
      <c r="AO225" s="131">
        <v>62.5</v>
      </c>
      <c r="AP225" s="131">
        <v>55</v>
      </c>
      <c r="AQ225" s="131">
        <v>55</v>
      </c>
      <c r="AR225" s="131">
        <v>40</v>
      </c>
      <c r="AS225" s="131">
        <v>37</v>
      </c>
      <c r="AT225" s="131">
        <v>32</v>
      </c>
      <c r="AU225" s="131">
        <v>27</v>
      </c>
      <c r="AV225" s="131">
        <v>22</v>
      </c>
      <c r="AW225" s="131">
        <v>20</v>
      </c>
      <c r="AX225" s="131">
        <v>17</v>
      </c>
      <c r="AY225" s="131">
        <v>15</v>
      </c>
      <c r="AZ225" s="131">
        <v>14</v>
      </c>
      <c r="BA225" s="131">
        <v>10</v>
      </c>
      <c r="BB225" s="131">
        <v>7</v>
      </c>
      <c r="BC225" s="131">
        <v>6.5</v>
      </c>
      <c r="BD225" s="131">
        <v>5</v>
      </c>
      <c r="BE225" s="131">
        <v>4</v>
      </c>
      <c r="BF225" s="131">
        <v>3.2</v>
      </c>
      <c r="BG225" s="131">
        <v>2.8</v>
      </c>
      <c r="BH225" s="131">
        <v>2.15</v>
      </c>
      <c r="BI225" s="131">
        <v>1.9</v>
      </c>
      <c r="BJ225" s="131">
        <v>1.6</v>
      </c>
      <c r="BK225" s="131">
        <v>1.5</v>
      </c>
      <c r="BL225" s="131">
        <v>1.1499999999999999</v>
      </c>
      <c r="BM225" s="131">
        <v>1</v>
      </c>
      <c r="BN225" s="131">
        <v>0.85</v>
      </c>
      <c r="BO225" s="131">
        <v>0.75</v>
      </c>
      <c r="BP225" s="131">
        <v>0.6</v>
      </c>
      <c r="BQ225" s="131">
        <v>0.57499999999999996</v>
      </c>
      <c r="BR225" s="131">
        <v>0.5</v>
      </c>
      <c r="BS225" s="131">
        <v>0.44</v>
      </c>
      <c r="BT225" s="131">
        <v>0.37</v>
      </c>
      <c r="BU225" s="131">
        <v>0.34</v>
      </c>
      <c r="BV225" s="131">
        <v>0.28000000000000003</v>
      </c>
      <c r="BW225" s="131">
        <v>0.26</v>
      </c>
      <c r="BX225" s="131">
        <v>0.23</v>
      </c>
      <c r="BY225" s="131">
        <v>0.21</v>
      </c>
      <c r="BZ225" s="131">
        <v>0.18</v>
      </c>
    </row>
    <row r="226" spans="2:78" s="128" customFormat="1" ht="10.5" hidden="1" x14ac:dyDescent="0.25">
      <c r="B226" s="138">
        <v>146</v>
      </c>
      <c r="C226" s="130">
        <v>32</v>
      </c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3"/>
      <c r="AH226" s="133"/>
      <c r="AI226" s="133"/>
      <c r="AJ226" s="133"/>
      <c r="AK226" s="131"/>
      <c r="AL226" s="131"/>
      <c r="AM226" s="131"/>
      <c r="AN226" s="131"/>
      <c r="AO226" s="131">
        <v>70</v>
      </c>
      <c r="AP226" s="131">
        <v>63</v>
      </c>
      <c r="AQ226" s="131">
        <v>60</v>
      </c>
      <c r="AR226" s="131">
        <v>45</v>
      </c>
      <c r="AS226" s="131">
        <v>42.5</v>
      </c>
      <c r="AT226" s="131">
        <v>36</v>
      </c>
      <c r="AU226" s="131">
        <v>30</v>
      </c>
      <c r="AV226" s="131">
        <v>25</v>
      </c>
      <c r="AW226" s="131">
        <v>22</v>
      </c>
      <c r="AX226" s="131">
        <v>19.5</v>
      </c>
      <c r="AY226" s="131">
        <v>17</v>
      </c>
      <c r="AZ226" s="131">
        <v>15</v>
      </c>
      <c r="BA226" s="131">
        <v>11.25</v>
      </c>
      <c r="BB226" s="131">
        <v>8</v>
      </c>
      <c r="BC226" s="131">
        <v>7.5</v>
      </c>
      <c r="BD226" s="131">
        <v>5.75</v>
      </c>
      <c r="BE226" s="131">
        <v>4.5</v>
      </c>
      <c r="BF226" s="131">
        <v>3.6</v>
      </c>
      <c r="BG226" s="131">
        <v>3.1</v>
      </c>
      <c r="BH226" s="131">
        <v>2.6</v>
      </c>
      <c r="BI226" s="131">
        <v>2.2000000000000002</v>
      </c>
      <c r="BJ226" s="131">
        <v>1.8</v>
      </c>
      <c r="BK226" s="131">
        <v>1.7</v>
      </c>
      <c r="BL226" s="131">
        <v>1.3</v>
      </c>
      <c r="BM226" s="131">
        <v>1.1000000000000001</v>
      </c>
      <c r="BN226" s="131">
        <v>0.95</v>
      </c>
      <c r="BO226" s="131">
        <v>0.85</v>
      </c>
      <c r="BP226" s="131">
        <v>0.67500000000000004</v>
      </c>
      <c r="BQ226" s="131">
        <v>0.65</v>
      </c>
      <c r="BR226" s="131">
        <v>0.57499999999999996</v>
      </c>
      <c r="BS226" s="131">
        <v>0.5</v>
      </c>
      <c r="BT226" s="131">
        <v>0.41</v>
      </c>
      <c r="BU226" s="131">
        <v>0.38</v>
      </c>
      <c r="BV226" s="131">
        <v>0.31</v>
      </c>
      <c r="BW226" s="131">
        <v>0.29499999999999998</v>
      </c>
      <c r="BX226" s="131">
        <v>0.26</v>
      </c>
      <c r="BY226" s="131">
        <v>0.24</v>
      </c>
      <c r="BZ226" s="131">
        <v>0.20250000000000001</v>
      </c>
    </row>
    <row r="227" spans="2:78" s="128" customFormat="1" ht="10.5" hidden="1" x14ac:dyDescent="0.25">
      <c r="B227" s="138">
        <v>147</v>
      </c>
      <c r="C227" s="130">
        <v>34</v>
      </c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  <c r="AA227" s="131"/>
      <c r="AB227" s="131"/>
      <c r="AC227" s="131"/>
      <c r="AD227" s="131"/>
      <c r="AE227" s="131"/>
      <c r="AF227" s="131"/>
      <c r="AG227" s="131"/>
      <c r="AH227" s="131"/>
      <c r="AI227" s="131"/>
      <c r="AJ227" s="131"/>
      <c r="AK227" s="131"/>
      <c r="AL227" s="131"/>
      <c r="AM227" s="131"/>
      <c r="AN227" s="131"/>
      <c r="AO227" s="131">
        <v>80</v>
      </c>
      <c r="AP227" s="131">
        <v>70</v>
      </c>
      <c r="AQ227" s="131">
        <v>70</v>
      </c>
      <c r="AR227" s="131">
        <v>52.5</v>
      </c>
      <c r="AS227" s="131">
        <v>47.5</v>
      </c>
      <c r="AT227" s="131">
        <v>40</v>
      </c>
      <c r="AU227" s="131">
        <v>34</v>
      </c>
      <c r="AV227" s="131">
        <v>28</v>
      </c>
      <c r="AW227" s="131">
        <v>26</v>
      </c>
      <c r="AX227" s="131">
        <v>22</v>
      </c>
      <c r="AY227" s="131">
        <v>19</v>
      </c>
      <c r="AZ227" s="131">
        <v>17</v>
      </c>
      <c r="BA227" s="131">
        <v>12.5</v>
      </c>
      <c r="BB227" s="131">
        <v>9</v>
      </c>
      <c r="BC227" s="131">
        <v>8.5</v>
      </c>
      <c r="BD227" s="131">
        <v>6.5</v>
      </c>
      <c r="BE227" s="131">
        <v>5</v>
      </c>
      <c r="BF227" s="131">
        <v>4</v>
      </c>
      <c r="BG227" s="131">
        <v>3.5</v>
      </c>
      <c r="BH227" s="131">
        <v>3</v>
      </c>
      <c r="BI227" s="131">
        <v>2.5</v>
      </c>
      <c r="BJ227" s="131">
        <v>2</v>
      </c>
      <c r="BK227" s="131">
        <v>1.85</v>
      </c>
      <c r="BL227" s="131">
        <v>1.5</v>
      </c>
      <c r="BM227" s="131">
        <v>1.25</v>
      </c>
      <c r="BN227" s="131">
        <v>1.075</v>
      </c>
      <c r="BO227" s="131">
        <v>0.95</v>
      </c>
      <c r="BP227" s="131">
        <v>0.75</v>
      </c>
      <c r="BQ227" s="131">
        <v>0.72499999999999998</v>
      </c>
      <c r="BR227" s="131">
        <v>0.65</v>
      </c>
      <c r="BS227" s="131">
        <v>0.55000000000000004</v>
      </c>
      <c r="BT227" s="131">
        <v>0.47499999999999998</v>
      </c>
      <c r="BU227" s="131">
        <v>0.42499999999999999</v>
      </c>
      <c r="BV227" s="131">
        <v>0.35</v>
      </c>
      <c r="BW227" s="131">
        <v>0.33</v>
      </c>
      <c r="BX227" s="131">
        <v>0.3</v>
      </c>
      <c r="BY227" s="131">
        <v>0.27</v>
      </c>
      <c r="BZ227" s="131">
        <v>0.22500000000000001</v>
      </c>
    </row>
    <row r="228" spans="2:78" s="128" customFormat="1" ht="10.5" hidden="1" x14ac:dyDescent="0.25">
      <c r="B228" s="138">
        <v>148</v>
      </c>
      <c r="C228" s="130">
        <v>36</v>
      </c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  <c r="AA228" s="131"/>
      <c r="AB228" s="131"/>
      <c r="AC228" s="131"/>
      <c r="AD228" s="131"/>
      <c r="AE228" s="131"/>
      <c r="AF228" s="131"/>
      <c r="AG228" s="131"/>
      <c r="AH228" s="131"/>
      <c r="AI228" s="131"/>
      <c r="AJ228" s="131"/>
      <c r="AK228" s="131"/>
      <c r="AL228" s="131"/>
      <c r="AM228" s="131"/>
      <c r="AN228" s="131"/>
      <c r="AO228" s="131"/>
      <c r="AP228" s="131">
        <v>78</v>
      </c>
      <c r="AQ228" s="131">
        <v>75</v>
      </c>
      <c r="AR228" s="131">
        <v>57.5</v>
      </c>
      <c r="AS228" s="131">
        <v>52.5</v>
      </c>
      <c r="AT228" s="131">
        <v>45</v>
      </c>
      <c r="AU228" s="131">
        <v>38</v>
      </c>
      <c r="AV228" s="131">
        <v>30</v>
      </c>
      <c r="AW228" s="131">
        <v>28</v>
      </c>
      <c r="AX228" s="131">
        <v>24</v>
      </c>
      <c r="AY228" s="131">
        <v>21</v>
      </c>
      <c r="AZ228" s="131">
        <v>19</v>
      </c>
      <c r="BA228" s="131">
        <v>14</v>
      </c>
      <c r="BB228" s="131">
        <v>10</v>
      </c>
      <c r="BC228" s="131">
        <v>9.25</v>
      </c>
      <c r="BD228" s="131">
        <v>7</v>
      </c>
      <c r="BE228" s="131">
        <v>5.75</v>
      </c>
      <c r="BF228" s="131">
        <v>4.5</v>
      </c>
      <c r="BG228" s="131">
        <v>4</v>
      </c>
      <c r="BH228" s="131">
        <v>3.3</v>
      </c>
      <c r="BI228" s="131">
        <v>2.8</v>
      </c>
      <c r="BJ228" s="131">
        <v>2.2000000000000002</v>
      </c>
      <c r="BK228" s="131">
        <v>2</v>
      </c>
      <c r="BL228" s="131">
        <v>1.65</v>
      </c>
      <c r="BM228" s="131">
        <v>1.4</v>
      </c>
      <c r="BN228" s="131">
        <v>1.2</v>
      </c>
      <c r="BO228" s="131">
        <v>1.05</v>
      </c>
      <c r="BP228" s="131">
        <v>0.85</v>
      </c>
      <c r="BQ228" s="131">
        <v>0.8</v>
      </c>
      <c r="BR228" s="131">
        <v>0.7</v>
      </c>
      <c r="BS228" s="131">
        <v>0.625</v>
      </c>
      <c r="BT228" s="131">
        <v>0.52500000000000002</v>
      </c>
      <c r="BU228" s="131">
        <v>0.47499999999999998</v>
      </c>
      <c r="BV228" s="131">
        <v>0.4</v>
      </c>
      <c r="BW228" s="131">
        <v>0.36</v>
      </c>
      <c r="BX228" s="131">
        <v>0.34</v>
      </c>
      <c r="BY228" s="131">
        <v>0.3</v>
      </c>
      <c r="BZ228" s="131">
        <v>0.26</v>
      </c>
    </row>
    <row r="229" spans="2:78" s="128" customFormat="1" ht="10.5" hidden="1" x14ac:dyDescent="0.25">
      <c r="B229" s="138">
        <v>149</v>
      </c>
      <c r="C229" s="130">
        <v>38</v>
      </c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  <c r="AA229" s="131"/>
      <c r="AB229" s="131"/>
      <c r="AC229" s="131"/>
      <c r="AD229" s="131"/>
      <c r="AE229" s="131"/>
      <c r="AF229" s="131"/>
      <c r="AG229" s="131"/>
      <c r="AH229" s="131"/>
      <c r="AI229" s="131"/>
      <c r="AJ229" s="131"/>
      <c r="AK229" s="131"/>
      <c r="AL229" s="131"/>
      <c r="AM229" s="131"/>
      <c r="AN229" s="131"/>
      <c r="AO229" s="131"/>
      <c r="AP229" s="131"/>
      <c r="AQ229" s="131"/>
      <c r="AR229" s="131">
        <v>65</v>
      </c>
      <c r="AS229" s="131">
        <v>60</v>
      </c>
      <c r="AT229" s="131">
        <v>50</v>
      </c>
      <c r="AU229" s="131">
        <v>42.5</v>
      </c>
      <c r="AV229" s="131">
        <v>34</v>
      </c>
      <c r="AW229" s="131">
        <v>32</v>
      </c>
      <c r="AX229" s="131">
        <v>27</v>
      </c>
      <c r="AY229" s="131">
        <v>23</v>
      </c>
      <c r="AZ229" s="131">
        <v>22</v>
      </c>
      <c r="BA229" s="131">
        <v>16</v>
      </c>
      <c r="BB229" s="131">
        <v>11</v>
      </c>
      <c r="BC229" s="131">
        <v>10.25</v>
      </c>
      <c r="BD229" s="131">
        <v>8</v>
      </c>
      <c r="BE229" s="131">
        <v>6.25</v>
      </c>
      <c r="BF229" s="131">
        <v>5</v>
      </c>
      <c r="BG229" s="131">
        <v>4.5</v>
      </c>
      <c r="BH229" s="131">
        <v>3.7</v>
      </c>
      <c r="BI229" s="131">
        <v>3</v>
      </c>
      <c r="BJ229" s="131">
        <v>2.5</v>
      </c>
      <c r="BK229" s="131">
        <v>2.2000000000000002</v>
      </c>
      <c r="BL229" s="131">
        <v>1.8</v>
      </c>
      <c r="BM229" s="131">
        <v>1.55</v>
      </c>
      <c r="BN229" s="131">
        <v>1.35</v>
      </c>
      <c r="BO229" s="131">
        <v>1.2</v>
      </c>
      <c r="BP229" s="131">
        <v>0.95</v>
      </c>
      <c r="BQ229" s="131">
        <v>0.9</v>
      </c>
      <c r="BR229" s="131">
        <v>0.8</v>
      </c>
      <c r="BS229" s="131">
        <v>0.7</v>
      </c>
      <c r="BT229" s="131">
        <v>0.6</v>
      </c>
      <c r="BU229" s="131">
        <v>0.52500000000000002</v>
      </c>
      <c r="BV229" s="131">
        <v>0.45</v>
      </c>
      <c r="BW229" s="131">
        <v>0.4</v>
      </c>
      <c r="BX229" s="131">
        <v>0.37</v>
      </c>
      <c r="BY229" s="131">
        <v>0.34</v>
      </c>
      <c r="BZ229" s="131">
        <v>0.28999999999999998</v>
      </c>
    </row>
    <row r="230" spans="2:78" s="128" customFormat="1" ht="10.5" hidden="1" x14ac:dyDescent="0.25">
      <c r="B230" s="138">
        <v>150</v>
      </c>
      <c r="C230" s="130">
        <v>40</v>
      </c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  <c r="AA230" s="131"/>
      <c r="AB230" s="131"/>
      <c r="AC230" s="131"/>
      <c r="AD230" s="131"/>
      <c r="AE230" s="131"/>
      <c r="AF230" s="131"/>
      <c r="AG230" s="131"/>
      <c r="AH230" s="131"/>
      <c r="AI230" s="131"/>
      <c r="AJ230" s="131"/>
      <c r="AK230" s="131"/>
      <c r="AL230" s="131"/>
      <c r="AM230" s="131"/>
      <c r="AN230" s="131"/>
      <c r="AO230" s="131"/>
      <c r="AP230" s="131"/>
      <c r="AQ230" s="131"/>
      <c r="AR230" s="131">
        <v>70</v>
      </c>
      <c r="AS230" s="131">
        <v>65</v>
      </c>
      <c r="AT230" s="131">
        <v>55</v>
      </c>
      <c r="AU230" s="131">
        <v>45</v>
      </c>
      <c r="AV230" s="131">
        <v>37</v>
      </c>
      <c r="AW230" s="131">
        <v>34</v>
      </c>
      <c r="AX230" s="131">
        <v>30</v>
      </c>
      <c r="AY230" s="131">
        <v>26</v>
      </c>
      <c r="AZ230" s="131">
        <v>24</v>
      </c>
      <c r="BA230" s="131">
        <v>17</v>
      </c>
      <c r="BB230" s="131">
        <v>12</v>
      </c>
      <c r="BC230" s="131">
        <v>11.5</v>
      </c>
      <c r="BD230" s="131">
        <v>8.75</v>
      </c>
      <c r="BE230" s="131">
        <v>7</v>
      </c>
      <c r="BF230" s="131">
        <v>5.5</v>
      </c>
      <c r="BG230" s="131">
        <v>5</v>
      </c>
      <c r="BH230" s="131">
        <v>4</v>
      </c>
      <c r="BI230" s="131">
        <v>3.3</v>
      </c>
      <c r="BJ230" s="131">
        <v>2.7</v>
      </c>
      <c r="BK230" s="131">
        <v>2.4</v>
      </c>
      <c r="BL230" s="131">
        <v>2</v>
      </c>
      <c r="BM230" s="131">
        <v>1.7</v>
      </c>
      <c r="BN230" s="131">
        <v>1.5</v>
      </c>
      <c r="BO230" s="131">
        <v>1.3</v>
      </c>
      <c r="BP230" s="131">
        <v>1.05</v>
      </c>
      <c r="BQ230" s="131">
        <v>1</v>
      </c>
      <c r="BR230" s="131">
        <v>0.875</v>
      </c>
      <c r="BS230" s="131">
        <v>0.75</v>
      </c>
      <c r="BT230" s="131">
        <v>0.65</v>
      </c>
      <c r="BU230" s="131">
        <v>0.57499999999999996</v>
      </c>
      <c r="BV230" s="131">
        <v>0.47499999999999998</v>
      </c>
      <c r="BW230" s="131">
        <v>0.45</v>
      </c>
      <c r="BX230" s="131">
        <v>0.4</v>
      </c>
      <c r="BY230" s="131">
        <v>0.37</v>
      </c>
      <c r="BZ230" s="131">
        <v>0.32</v>
      </c>
    </row>
    <row r="231" spans="2:78" s="128" customFormat="1" ht="10.5" hidden="1" x14ac:dyDescent="0.25">
      <c r="B231" s="138">
        <v>151</v>
      </c>
      <c r="C231" s="130">
        <v>42</v>
      </c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131"/>
      <c r="AB231" s="131"/>
      <c r="AC231" s="131"/>
      <c r="AD231" s="131"/>
      <c r="AE231" s="131"/>
      <c r="AF231" s="131"/>
      <c r="AG231" s="131"/>
      <c r="AH231" s="131"/>
      <c r="AI231" s="131"/>
      <c r="AJ231" s="131"/>
      <c r="AK231" s="131"/>
      <c r="AL231" s="131"/>
      <c r="AM231" s="131"/>
      <c r="AN231" s="131"/>
      <c r="AO231" s="131"/>
      <c r="AP231" s="131"/>
      <c r="AQ231" s="131"/>
      <c r="AR231" s="131">
        <v>75</v>
      </c>
      <c r="AS231" s="131">
        <v>70</v>
      </c>
      <c r="AT231" s="131">
        <v>60</v>
      </c>
      <c r="AU231" s="131">
        <v>50</v>
      </c>
      <c r="AV231" s="131">
        <v>40</v>
      </c>
      <c r="AW231" s="131">
        <v>38</v>
      </c>
      <c r="AX231" s="131">
        <v>32</v>
      </c>
      <c r="AY231" s="131">
        <v>28</v>
      </c>
      <c r="AZ231" s="131">
        <v>26</v>
      </c>
      <c r="BA231" s="131">
        <v>18.5</v>
      </c>
      <c r="BB231" s="131">
        <v>13</v>
      </c>
      <c r="BC231" s="131">
        <v>12.5</v>
      </c>
      <c r="BD231" s="131">
        <v>9.5</v>
      </c>
      <c r="BE231" s="131">
        <v>7.5</v>
      </c>
      <c r="BF231" s="131">
        <v>6</v>
      </c>
      <c r="BG231" s="131">
        <v>5.25</v>
      </c>
      <c r="BH231" s="131">
        <v>4.25</v>
      </c>
      <c r="BI231" s="131">
        <v>3.7</v>
      </c>
      <c r="BJ231" s="131">
        <v>3</v>
      </c>
      <c r="BK231" s="131">
        <v>2.7</v>
      </c>
      <c r="BL231" s="131">
        <v>2.2000000000000002</v>
      </c>
      <c r="BM231" s="131">
        <v>1.9</v>
      </c>
      <c r="BN231" s="131">
        <v>1.65</v>
      </c>
      <c r="BO231" s="131">
        <v>1.4</v>
      </c>
      <c r="BP231" s="131">
        <v>1.1499999999999999</v>
      </c>
      <c r="BQ231" s="131">
        <v>1.1000000000000001</v>
      </c>
      <c r="BR231" s="131">
        <v>0.95</v>
      </c>
      <c r="BS231" s="131">
        <v>0.82499999999999996</v>
      </c>
      <c r="BT231" s="131">
        <v>0.7</v>
      </c>
      <c r="BU231" s="131">
        <v>0.65</v>
      </c>
      <c r="BV231" s="131">
        <v>0.52500000000000002</v>
      </c>
      <c r="BW231" s="131">
        <v>0.5</v>
      </c>
      <c r="BX231" s="131">
        <v>0.45</v>
      </c>
      <c r="BY231" s="131">
        <v>0.4</v>
      </c>
      <c r="BZ231" s="131">
        <v>0.35</v>
      </c>
    </row>
    <row r="232" spans="2:78" s="128" customFormat="1" ht="10.5" hidden="1" x14ac:dyDescent="0.25">
      <c r="B232" s="138">
        <v>152</v>
      </c>
      <c r="C232" s="130">
        <v>44</v>
      </c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  <c r="AA232" s="131"/>
      <c r="AB232" s="131"/>
      <c r="AC232" s="131"/>
      <c r="AD232" s="131"/>
      <c r="AE232" s="131"/>
      <c r="AF232" s="131"/>
      <c r="AG232" s="131"/>
      <c r="AH232" s="131"/>
      <c r="AI232" s="131"/>
      <c r="AJ232" s="131"/>
      <c r="AK232" s="131"/>
      <c r="AL232" s="131"/>
      <c r="AM232" s="131"/>
      <c r="AN232" s="131"/>
      <c r="AO232" s="131"/>
      <c r="AP232" s="131"/>
      <c r="AQ232" s="131"/>
      <c r="AR232" s="131">
        <v>80</v>
      </c>
      <c r="AS232" s="131">
        <v>75</v>
      </c>
      <c r="AT232" s="131">
        <v>67.5</v>
      </c>
      <c r="AU232" s="131">
        <v>55</v>
      </c>
      <c r="AV232" s="131">
        <v>44</v>
      </c>
      <c r="AW232" s="131">
        <v>40</v>
      </c>
      <c r="AX232" s="131">
        <v>35</v>
      </c>
      <c r="AY232" s="131">
        <v>30</v>
      </c>
      <c r="AZ232" s="131">
        <v>28</v>
      </c>
      <c r="BA232" s="131">
        <v>20</v>
      </c>
      <c r="BB232" s="131">
        <v>14</v>
      </c>
      <c r="BC232" s="131">
        <v>13.5</v>
      </c>
      <c r="BD232" s="131">
        <v>10.5</v>
      </c>
      <c r="BE232" s="131">
        <v>8.25</v>
      </c>
      <c r="BF232" s="131">
        <v>6.5</v>
      </c>
      <c r="BG232" s="131">
        <v>5.75</v>
      </c>
      <c r="BH232" s="131">
        <v>4.75</v>
      </c>
      <c r="BI232" s="131">
        <v>4</v>
      </c>
      <c r="BJ232" s="131">
        <v>3.2</v>
      </c>
      <c r="BK232" s="131">
        <v>2.9</v>
      </c>
      <c r="BL232" s="131">
        <v>2.4</v>
      </c>
      <c r="BM232" s="131">
        <v>2</v>
      </c>
      <c r="BN232" s="131">
        <v>1.8</v>
      </c>
      <c r="BO232" s="131">
        <v>1.6</v>
      </c>
      <c r="BP232" s="131">
        <v>1.25</v>
      </c>
      <c r="BQ232" s="131">
        <v>1.2</v>
      </c>
      <c r="BR232" s="131">
        <v>1.05</v>
      </c>
      <c r="BS232" s="131">
        <v>0.9</v>
      </c>
      <c r="BT232" s="131">
        <v>0.77500000000000002</v>
      </c>
      <c r="BU232" s="131">
        <v>0.7</v>
      </c>
      <c r="BV232" s="131">
        <v>0.57499999999999996</v>
      </c>
      <c r="BW232" s="131">
        <v>0.55000000000000004</v>
      </c>
      <c r="BX232" s="131">
        <v>0.47499999999999998</v>
      </c>
      <c r="BY232" s="131">
        <v>0.44</v>
      </c>
      <c r="BZ232" s="131">
        <v>0.38</v>
      </c>
    </row>
    <row r="233" spans="2:78" s="128" customFormat="1" ht="10.5" hidden="1" x14ac:dyDescent="0.25">
      <c r="B233" s="138">
        <v>153</v>
      </c>
      <c r="C233" s="130">
        <v>46</v>
      </c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  <c r="AA233" s="131"/>
      <c r="AB233" s="131"/>
      <c r="AC233" s="131"/>
      <c r="AD233" s="131"/>
      <c r="AE233" s="131"/>
      <c r="AF233" s="131"/>
      <c r="AG233" s="131"/>
      <c r="AH233" s="131"/>
      <c r="AI233" s="131"/>
      <c r="AJ233" s="131"/>
      <c r="AK233" s="131"/>
      <c r="AL233" s="131"/>
      <c r="AM233" s="131"/>
      <c r="AN233" s="131"/>
      <c r="AO233" s="131"/>
      <c r="AP233" s="131"/>
      <c r="AQ233" s="131"/>
      <c r="AR233" s="131"/>
      <c r="AS233" s="131"/>
      <c r="AT233" s="131">
        <v>72.5</v>
      </c>
      <c r="AU233" s="131">
        <v>60</v>
      </c>
      <c r="AV233" s="131">
        <v>48</v>
      </c>
      <c r="AW233" s="131">
        <v>44</v>
      </c>
      <c r="AX233" s="131">
        <v>38</v>
      </c>
      <c r="AY233" s="131">
        <v>33</v>
      </c>
      <c r="AZ233" s="131">
        <v>31</v>
      </c>
      <c r="BA233" s="131">
        <v>22</v>
      </c>
      <c r="BB233" s="131">
        <v>15</v>
      </c>
      <c r="BC233" s="131">
        <v>15</v>
      </c>
      <c r="BD233" s="131">
        <v>11.5</v>
      </c>
      <c r="BE233" s="131">
        <v>9</v>
      </c>
      <c r="BF233" s="131">
        <v>7</v>
      </c>
      <c r="BG233" s="131">
        <v>6.25</v>
      </c>
      <c r="BH233" s="131">
        <v>5</v>
      </c>
      <c r="BI233" s="131">
        <v>4.25</v>
      </c>
      <c r="BJ233" s="131">
        <v>3.5</v>
      </c>
      <c r="BK233" s="131">
        <v>3.2</v>
      </c>
      <c r="BL233" s="131">
        <v>2.6</v>
      </c>
      <c r="BM233" s="131">
        <v>2.2999999999999998</v>
      </c>
      <c r="BN233" s="131">
        <v>1.95</v>
      </c>
      <c r="BO233" s="131">
        <v>1.7</v>
      </c>
      <c r="BP233" s="131">
        <v>1.35</v>
      </c>
      <c r="BQ233" s="131">
        <v>1.3</v>
      </c>
      <c r="BR233" s="131">
        <v>1.1499999999999999</v>
      </c>
      <c r="BS233" s="131">
        <v>1</v>
      </c>
      <c r="BT233" s="131">
        <v>0.85</v>
      </c>
      <c r="BU233" s="131">
        <v>0.77500000000000002</v>
      </c>
      <c r="BV233" s="131">
        <v>0.625</v>
      </c>
      <c r="BW233" s="131">
        <v>0.6</v>
      </c>
      <c r="BX233" s="131">
        <v>0.52500000000000002</v>
      </c>
      <c r="BY233" s="131">
        <v>0.47499999999999998</v>
      </c>
      <c r="BZ233" s="131">
        <v>0.42499999999999999</v>
      </c>
    </row>
    <row r="234" spans="2:78" s="128" customFormat="1" ht="10.5" hidden="1" x14ac:dyDescent="0.25">
      <c r="B234" s="138">
        <v>154</v>
      </c>
      <c r="C234" s="130">
        <v>48</v>
      </c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  <c r="AA234" s="131"/>
      <c r="AB234" s="131"/>
      <c r="AC234" s="131"/>
      <c r="AD234" s="131"/>
      <c r="AE234" s="131"/>
      <c r="AF234" s="131"/>
      <c r="AG234" s="131"/>
      <c r="AH234" s="131"/>
      <c r="AI234" s="131"/>
      <c r="AJ234" s="131"/>
      <c r="AK234" s="131"/>
      <c r="AL234" s="131"/>
      <c r="AM234" s="131"/>
      <c r="AN234" s="131"/>
      <c r="AO234" s="131"/>
      <c r="AP234" s="131"/>
      <c r="AQ234" s="131"/>
      <c r="AR234" s="131"/>
      <c r="AS234" s="131"/>
      <c r="AT234" s="131">
        <v>80</v>
      </c>
      <c r="AU234" s="131">
        <v>65</v>
      </c>
      <c r="AV234" s="131">
        <v>52.5</v>
      </c>
      <c r="AW234" s="131">
        <v>48</v>
      </c>
      <c r="AX234" s="131">
        <v>42.5</v>
      </c>
      <c r="AY234" s="131">
        <v>36</v>
      </c>
      <c r="AZ234" s="131">
        <v>34</v>
      </c>
      <c r="BA234" s="131">
        <v>24</v>
      </c>
      <c r="BB234" s="131">
        <v>17</v>
      </c>
      <c r="BC234" s="131">
        <v>16</v>
      </c>
      <c r="BD234" s="131">
        <v>12.5</v>
      </c>
      <c r="BE234" s="131">
        <v>10</v>
      </c>
      <c r="BF234" s="131">
        <v>7.5</v>
      </c>
      <c r="BG234" s="131">
        <v>6.75</v>
      </c>
      <c r="BH234" s="131">
        <v>5.5</v>
      </c>
      <c r="BI234" s="131">
        <v>4.75</v>
      </c>
      <c r="BJ234" s="131">
        <v>3.8</v>
      </c>
      <c r="BK234" s="131">
        <v>3.4</v>
      </c>
      <c r="BL234" s="131">
        <v>2.8</v>
      </c>
      <c r="BM234" s="131">
        <v>2.4</v>
      </c>
      <c r="BN234" s="131">
        <v>2.1</v>
      </c>
      <c r="BO234" s="131">
        <v>1.85</v>
      </c>
      <c r="BP234" s="131">
        <v>1.5</v>
      </c>
      <c r="BQ234" s="131">
        <v>1.4</v>
      </c>
      <c r="BR234" s="131">
        <v>1.25</v>
      </c>
      <c r="BS234" s="131">
        <v>1.075</v>
      </c>
      <c r="BT234" s="131">
        <v>0.92500000000000004</v>
      </c>
      <c r="BU234" s="131">
        <v>0.85</v>
      </c>
      <c r="BV234" s="131">
        <v>0.67500000000000004</v>
      </c>
      <c r="BW234" s="131">
        <v>0.65</v>
      </c>
      <c r="BX234" s="131">
        <v>0.57499999999999996</v>
      </c>
      <c r="BY234" s="131">
        <v>0.52500000000000002</v>
      </c>
      <c r="BZ234" s="131">
        <v>0.45</v>
      </c>
    </row>
    <row r="235" spans="2:78" s="128" customFormat="1" ht="10.5" hidden="1" x14ac:dyDescent="0.25">
      <c r="B235" s="138">
        <v>155</v>
      </c>
      <c r="C235" s="130">
        <v>50</v>
      </c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  <c r="AA235" s="131"/>
      <c r="AB235" s="131"/>
      <c r="AC235" s="131"/>
      <c r="AD235" s="131"/>
      <c r="AE235" s="131"/>
      <c r="AF235" s="131"/>
      <c r="AG235" s="131"/>
      <c r="AH235" s="131"/>
      <c r="AI235" s="131"/>
      <c r="AJ235" s="131"/>
      <c r="AK235" s="131"/>
      <c r="AL235" s="131"/>
      <c r="AM235" s="131"/>
      <c r="AN235" s="131"/>
      <c r="AO235" s="131"/>
      <c r="AP235" s="131"/>
      <c r="AQ235" s="131"/>
      <c r="AR235" s="131"/>
      <c r="AS235" s="131"/>
      <c r="AT235" s="131"/>
      <c r="AU235" s="131">
        <v>70</v>
      </c>
      <c r="AV235" s="131">
        <v>57.5</v>
      </c>
      <c r="AW235" s="131">
        <v>50</v>
      </c>
      <c r="AX235" s="131">
        <v>45</v>
      </c>
      <c r="AY235" s="131">
        <v>39</v>
      </c>
      <c r="AZ235" s="131">
        <v>36</v>
      </c>
      <c r="BA235" s="131">
        <v>26</v>
      </c>
      <c r="BB235" s="131">
        <v>18</v>
      </c>
      <c r="BC235" s="131">
        <v>17</v>
      </c>
      <c r="BD235" s="131">
        <v>13.5</v>
      </c>
      <c r="BE235" s="131">
        <v>10.5</v>
      </c>
      <c r="BF235" s="131">
        <v>8</v>
      </c>
      <c r="BG235" s="131">
        <v>7.25</v>
      </c>
      <c r="BH235" s="131">
        <v>6</v>
      </c>
      <c r="BI235" s="131">
        <v>5</v>
      </c>
      <c r="BJ235" s="131">
        <v>4</v>
      </c>
      <c r="BK235" s="131">
        <v>3.7</v>
      </c>
      <c r="BL235" s="131">
        <v>3</v>
      </c>
      <c r="BM235" s="131">
        <v>2.6</v>
      </c>
      <c r="BN235" s="131">
        <v>2.2999999999999998</v>
      </c>
      <c r="BO235" s="131">
        <v>2</v>
      </c>
      <c r="BP235" s="131">
        <v>1.6</v>
      </c>
      <c r="BQ235" s="131">
        <v>1.5</v>
      </c>
      <c r="BR235" s="131">
        <v>1.35</v>
      </c>
      <c r="BS235" s="131">
        <v>1.1499999999999999</v>
      </c>
      <c r="BT235" s="131">
        <v>1</v>
      </c>
      <c r="BU235" s="131">
        <v>0.9</v>
      </c>
      <c r="BV235" s="131">
        <v>0.72499999999999998</v>
      </c>
      <c r="BW235" s="131">
        <v>0.7</v>
      </c>
      <c r="BX235" s="131">
        <v>0.625</v>
      </c>
      <c r="BY235" s="131">
        <v>0.55000000000000004</v>
      </c>
      <c r="BZ235" s="131">
        <v>0.47499999999999998</v>
      </c>
    </row>
  </sheetData>
  <sheetProtection algorithmName="SHA-512" hashValue="XZvC/2jsqk1iimT5pI7lFA2+WE8In3CWIW+mSzL3oNVRuEB3q87oxOnoQelSO1AlCFOFS1whNFtO4bfroAEO3Q==" saltValue="pBBwR2HITA8Idn17ITEbrA==" spinCount="100000" sheet="1" objects="1" scenarios="1"/>
  <mergeCells count="1">
    <mergeCell ref="B1:E2"/>
  </mergeCells>
  <conditionalFormatting sqref="C14:AO72 F4">
    <cfRule type="cellIs" dxfId="4" priority="2" operator="greaterThan">
      <formula>5</formula>
    </cfRule>
  </conditionalFormatting>
  <conditionalFormatting sqref="C14:AO72">
    <cfRule type="cellIs" dxfId="3" priority="1" operator="greaterThan">
      <formula>15</formula>
    </cfRule>
  </conditionalFormatting>
  <conditionalFormatting sqref="F4 B9:P9 C14:U72 V32:AO72">
    <cfRule type="cellIs" dxfId="2" priority="4" stopIfTrue="1" operator="between">
      <formula>3</formula>
      <formula>4</formula>
    </cfRule>
    <cfRule type="cellIs" dxfId="1" priority="5" stopIfTrue="1" operator="between">
      <formula>4</formula>
      <formula>5</formula>
    </cfRule>
  </conditionalFormatting>
  <conditionalFormatting sqref="F4 C14:U72 V32:AO72 B9:P9">
    <cfRule type="cellIs" dxfId="0" priority="3" stopIfTrue="1" operator="between">
      <formula>2</formula>
      <formula>3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2:M29"/>
  <sheetViews>
    <sheetView workbookViewId="0">
      <selection activeCell="F25" sqref="F25"/>
    </sheetView>
  </sheetViews>
  <sheetFormatPr defaultColWidth="9.1796875" defaultRowHeight="12.5" x14ac:dyDescent="0.25"/>
  <cols>
    <col min="1" max="1" width="9.1796875" style="56"/>
    <col min="2" max="2" width="29.54296875" style="56" customWidth="1"/>
    <col min="3" max="3" width="15.26953125" style="56" customWidth="1"/>
    <col min="4" max="4" width="12" style="56" bestFit="1" customWidth="1"/>
    <col min="5" max="5" width="15.453125" style="56" customWidth="1"/>
    <col min="6" max="6" width="11.81640625" style="56" bestFit="1" customWidth="1"/>
    <col min="7" max="7" width="12.26953125" style="56" bestFit="1" customWidth="1"/>
    <col min="8" max="11" width="9.1796875" style="56"/>
    <col min="12" max="12" width="11.7265625" style="56" customWidth="1"/>
    <col min="13" max="13" width="18.1796875" style="56" customWidth="1"/>
    <col min="14" max="16384" width="9.1796875" style="56"/>
  </cols>
  <sheetData>
    <row r="2" spans="2:13" ht="13" x14ac:dyDescent="0.3">
      <c r="B2" s="74" t="s">
        <v>93</v>
      </c>
    </row>
    <row r="3" spans="2:13" x14ac:dyDescent="0.25">
      <c r="B3" s="101"/>
      <c r="C3" s="101"/>
      <c r="D3" s="101"/>
      <c r="E3" s="101"/>
      <c r="F3" s="101"/>
      <c r="G3" s="101"/>
    </row>
    <row r="4" spans="2:13" ht="25" x14ac:dyDescent="0.25">
      <c r="B4" s="100" t="s">
        <v>92</v>
      </c>
      <c r="C4" s="99" t="s">
        <v>91</v>
      </c>
      <c r="D4" s="99" t="s">
        <v>90</v>
      </c>
      <c r="E4" s="99" t="s">
        <v>89</v>
      </c>
      <c r="F4" s="99" t="s">
        <v>88</v>
      </c>
      <c r="G4" s="99" t="s">
        <v>87</v>
      </c>
    </row>
    <row r="5" spans="2:13" x14ac:dyDescent="0.25">
      <c r="B5" s="64" t="s">
        <v>86</v>
      </c>
      <c r="C5" s="98" t="s">
        <v>85</v>
      </c>
      <c r="D5" s="98" t="s">
        <v>81</v>
      </c>
      <c r="E5" s="98" t="s">
        <v>84</v>
      </c>
      <c r="F5" s="98" t="s">
        <v>83</v>
      </c>
      <c r="G5" s="98" t="s">
        <v>79</v>
      </c>
      <c r="H5" s="97"/>
    </row>
    <row r="6" spans="2:13" x14ac:dyDescent="0.25">
      <c r="B6" s="64" t="s">
        <v>82</v>
      </c>
      <c r="C6" s="98" t="s">
        <v>81</v>
      </c>
      <c r="D6" s="98"/>
      <c r="E6" s="98" t="s">
        <v>80</v>
      </c>
      <c r="F6" s="98"/>
      <c r="G6" s="98" t="s">
        <v>79</v>
      </c>
      <c r="H6" s="97"/>
    </row>
    <row r="7" spans="2:13" x14ac:dyDescent="0.25">
      <c r="B7" s="64" t="s">
        <v>78</v>
      </c>
      <c r="C7" s="98" t="s">
        <v>77</v>
      </c>
      <c r="D7" s="98" t="s">
        <v>77</v>
      </c>
      <c r="E7" s="98" t="s">
        <v>76</v>
      </c>
      <c r="F7" s="98"/>
      <c r="G7" s="98" t="s">
        <v>75</v>
      </c>
      <c r="H7" s="97"/>
    </row>
    <row r="8" spans="2:13" ht="13" x14ac:dyDescent="0.3">
      <c r="B8" s="96" t="s">
        <v>74</v>
      </c>
      <c r="C8" s="95"/>
      <c r="D8" s="95"/>
      <c r="E8" s="90"/>
    </row>
    <row r="9" spans="2:13" x14ac:dyDescent="0.25">
      <c r="B9" s="90"/>
      <c r="C9" s="90"/>
      <c r="D9" s="90"/>
      <c r="E9" s="90"/>
    </row>
    <row r="10" spans="2:13" x14ac:dyDescent="0.25">
      <c r="B10" s="90"/>
      <c r="C10" s="90"/>
      <c r="D10" s="90"/>
      <c r="E10" s="90"/>
    </row>
    <row r="11" spans="2:13" ht="13" x14ac:dyDescent="0.3">
      <c r="B11" s="90"/>
      <c r="D11" s="74" t="s">
        <v>73</v>
      </c>
    </row>
    <row r="12" spans="2:13" ht="13" thickBot="1" x14ac:dyDescent="0.3">
      <c r="B12" s="90"/>
    </row>
    <row r="13" spans="2:13" ht="13" thickBot="1" x14ac:dyDescent="0.3">
      <c r="B13" s="90"/>
      <c r="D13" s="94" t="s">
        <v>72</v>
      </c>
      <c r="E13" s="146" t="s">
        <v>71</v>
      </c>
      <c r="F13" s="147"/>
      <c r="G13" s="147"/>
      <c r="H13" s="147"/>
      <c r="I13" s="147"/>
      <c r="J13" s="147"/>
      <c r="K13" s="147"/>
      <c r="L13" s="147"/>
      <c r="M13" s="148"/>
    </row>
    <row r="14" spans="2:13" ht="13" thickBot="1" x14ac:dyDescent="0.3">
      <c r="B14" s="90"/>
      <c r="D14" s="93" t="s">
        <v>70</v>
      </c>
      <c r="E14" s="92">
        <v>2.5</v>
      </c>
      <c r="F14" s="92">
        <v>3</v>
      </c>
      <c r="G14" s="92">
        <v>3.5</v>
      </c>
      <c r="H14" s="92">
        <v>4</v>
      </c>
      <c r="I14" s="92">
        <v>4.5</v>
      </c>
      <c r="J14" s="92">
        <v>5</v>
      </c>
      <c r="K14" s="92">
        <v>6</v>
      </c>
      <c r="L14" s="92">
        <v>7</v>
      </c>
      <c r="M14" s="92">
        <v>8</v>
      </c>
    </row>
    <row r="15" spans="2:13" ht="13" thickBot="1" x14ac:dyDescent="0.3">
      <c r="B15" s="90"/>
      <c r="D15" s="91">
        <v>80</v>
      </c>
      <c r="E15" s="87">
        <f t="shared" ref="E15:E29" si="0">900*PI()*(D15/1000)^2*$E$14</f>
        <v>45.238934211693021</v>
      </c>
      <c r="F15" s="87">
        <f t="shared" ref="F15:M15" si="1">900*PI()*($E$18/1000)^2*F14</f>
        <v>66.688432442022915</v>
      </c>
      <c r="G15" s="87">
        <f t="shared" si="1"/>
        <v>77.803171182360074</v>
      </c>
      <c r="H15" s="87">
        <f t="shared" si="1"/>
        <v>88.91790992269722</v>
      </c>
      <c r="I15" s="87">
        <f t="shared" si="1"/>
        <v>100.03264866303437</v>
      </c>
      <c r="J15" s="87">
        <f t="shared" si="1"/>
        <v>111.14738740337152</v>
      </c>
      <c r="K15" s="87">
        <f t="shared" si="1"/>
        <v>133.37686488404583</v>
      </c>
      <c r="L15" s="87">
        <f t="shared" si="1"/>
        <v>155.60634236472015</v>
      </c>
      <c r="M15" s="87">
        <f t="shared" si="1"/>
        <v>177.83581984539444</v>
      </c>
    </row>
    <row r="16" spans="2:13" ht="13" thickBot="1" x14ac:dyDescent="0.3">
      <c r="B16" s="90"/>
      <c r="D16" s="89">
        <v>90</v>
      </c>
      <c r="E16" s="87">
        <f t="shared" si="0"/>
        <v>57.25552611167398</v>
      </c>
      <c r="F16" s="87">
        <f t="shared" ref="F16:M16" si="2">900*PI()*($E$19/1000)^2*F14</f>
        <v>103.47095809908399</v>
      </c>
      <c r="G16" s="87">
        <f t="shared" si="2"/>
        <v>120.71611778226465</v>
      </c>
      <c r="H16" s="87">
        <f t="shared" si="2"/>
        <v>137.96127746544531</v>
      </c>
      <c r="I16" s="87">
        <f t="shared" si="2"/>
        <v>155.20643714862598</v>
      </c>
      <c r="J16" s="87">
        <f t="shared" si="2"/>
        <v>172.45159683180663</v>
      </c>
      <c r="K16" s="87">
        <f t="shared" si="2"/>
        <v>206.94191619816797</v>
      </c>
      <c r="L16" s="87">
        <f t="shared" si="2"/>
        <v>241.43223556452929</v>
      </c>
      <c r="M16" s="87">
        <f t="shared" si="2"/>
        <v>275.92255493089061</v>
      </c>
    </row>
    <row r="17" spans="2:13" ht="13" thickBot="1" x14ac:dyDescent="0.3">
      <c r="B17" s="90"/>
      <c r="D17" s="88">
        <v>100</v>
      </c>
      <c r="E17" s="87">
        <f t="shared" si="0"/>
        <v>70.685834705770361</v>
      </c>
      <c r="F17" s="86">
        <v>85</v>
      </c>
      <c r="G17" s="86">
        <v>99</v>
      </c>
      <c r="H17" s="86">
        <v>113</v>
      </c>
      <c r="I17" s="86">
        <v>127</v>
      </c>
      <c r="J17" s="86">
        <v>141</v>
      </c>
      <c r="K17" s="86">
        <v>170</v>
      </c>
      <c r="L17" s="86">
        <v>198</v>
      </c>
      <c r="M17" s="86">
        <v>226</v>
      </c>
    </row>
    <row r="18" spans="2:13" ht="13" thickBot="1" x14ac:dyDescent="0.3">
      <c r="B18" s="90"/>
      <c r="D18" s="89">
        <v>112</v>
      </c>
      <c r="E18" s="87">
        <f t="shared" si="0"/>
        <v>88.668311054918334</v>
      </c>
      <c r="F18" s="87">
        <f t="shared" ref="F18:M18" si="3">900*PI()*($E$21/1000)^2*F14</f>
        <v>277.7527382008451</v>
      </c>
      <c r="G18" s="87">
        <f t="shared" si="3"/>
        <v>324.04486123431928</v>
      </c>
      <c r="H18" s="87">
        <f t="shared" si="3"/>
        <v>370.33698426779347</v>
      </c>
      <c r="I18" s="87">
        <f t="shared" si="3"/>
        <v>416.62910730126765</v>
      </c>
      <c r="J18" s="87">
        <f t="shared" si="3"/>
        <v>462.92123033474184</v>
      </c>
      <c r="K18" s="87">
        <f t="shared" si="3"/>
        <v>555.5054764016902</v>
      </c>
      <c r="L18" s="87">
        <f t="shared" si="3"/>
        <v>648.08972246863857</v>
      </c>
      <c r="M18" s="87">
        <f t="shared" si="3"/>
        <v>740.67396853558694</v>
      </c>
    </row>
    <row r="19" spans="2:13" ht="13" thickBot="1" x14ac:dyDescent="0.3">
      <c r="D19" s="88">
        <v>125</v>
      </c>
      <c r="E19" s="87">
        <f t="shared" si="0"/>
        <v>110.44661672776616</v>
      </c>
      <c r="F19" s="86">
        <v>133</v>
      </c>
      <c r="G19" s="86">
        <v>155</v>
      </c>
      <c r="H19" s="86">
        <v>177</v>
      </c>
      <c r="I19" s="86">
        <v>199</v>
      </c>
      <c r="J19" s="86">
        <v>221</v>
      </c>
      <c r="K19" s="86">
        <v>265</v>
      </c>
      <c r="L19" s="86">
        <v>309</v>
      </c>
      <c r="M19" s="86">
        <v>353</v>
      </c>
    </row>
    <row r="20" spans="2:13" ht="13" thickBot="1" x14ac:dyDescent="0.3">
      <c r="D20" s="89">
        <v>150</v>
      </c>
      <c r="E20" s="87">
        <f t="shared" si="0"/>
        <v>159.04312808798326</v>
      </c>
      <c r="F20" s="87">
        <f t="shared" ref="F20:M20" si="4">900*PI()*(E20/1000)^2*$E$14</f>
        <v>178.79781559521714</v>
      </c>
      <c r="G20" s="87">
        <f t="shared" si="4"/>
        <v>225.9731336057722</v>
      </c>
      <c r="H20" s="87">
        <f t="shared" si="4"/>
        <v>360.9491363230494</v>
      </c>
      <c r="I20" s="87">
        <f t="shared" si="4"/>
        <v>920.92530110278119</v>
      </c>
      <c r="J20" s="87">
        <f t="shared" si="4"/>
        <v>5994.8897467592433</v>
      </c>
      <c r="K20" s="87">
        <f t="shared" si="4"/>
        <v>254035.72251556959</v>
      </c>
      <c r="L20" s="87">
        <f t="shared" si="4"/>
        <v>456165014.06016004</v>
      </c>
      <c r="M20" s="87">
        <f t="shared" si="4"/>
        <v>1470876936093040.5</v>
      </c>
    </row>
    <row r="21" spans="2:13" ht="13" thickBot="1" x14ac:dyDescent="0.3">
      <c r="D21" s="88">
        <v>160</v>
      </c>
      <c r="E21" s="87">
        <f t="shared" si="0"/>
        <v>180.95573684677208</v>
      </c>
      <c r="F21" s="86">
        <v>217</v>
      </c>
      <c r="G21" s="86">
        <v>253</v>
      </c>
      <c r="H21" s="86">
        <v>290</v>
      </c>
      <c r="I21" s="86">
        <v>326</v>
      </c>
      <c r="J21" s="86">
        <v>362</v>
      </c>
      <c r="K21" s="86">
        <v>434</v>
      </c>
      <c r="L21" s="86">
        <v>507</v>
      </c>
      <c r="M21" s="86">
        <v>579</v>
      </c>
    </row>
    <row r="22" spans="2:13" ht="13" thickBot="1" x14ac:dyDescent="0.3">
      <c r="D22" s="89">
        <v>180</v>
      </c>
      <c r="E22" s="87">
        <f t="shared" si="0"/>
        <v>229.02210444669592</v>
      </c>
      <c r="F22" s="87">
        <f t="shared" ref="F22:M22" si="5">900*PI()*($E$25/1000)^2*F14</f>
        <v>1655.5353295853438</v>
      </c>
      <c r="G22" s="87">
        <f t="shared" si="5"/>
        <v>1931.4578845162343</v>
      </c>
      <c r="H22" s="87">
        <f t="shared" si="5"/>
        <v>2207.3804394471249</v>
      </c>
      <c r="I22" s="87">
        <f t="shared" si="5"/>
        <v>2483.3029943780157</v>
      </c>
      <c r="J22" s="87">
        <f t="shared" si="5"/>
        <v>2759.225549308906</v>
      </c>
      <c r="K22" s="87">
        <f t="shared" si="5"/>
        <v>3311.0706591706876</v>
      </c>
      <c r="L22" s="87">
        <f t="shared" si="5"/>
        <v>3862.9157690324687</v>
      </c>
      <c r="M22" s="87">
        <f t="shared" si="5"/>
        <v>4414.7608788942498</v>
      </c>
    </row>
    <row r="23" spans="2:13" ht="13" thickBot="1" x14ac:dyDescent="0.3">
      <c r="D23" s="88">
        <v>200</v>
      </c>
      <c r="E23" s="87">
        <f t="shared" si="0"/>
        <v>282.74333882308144</v>
      </c>
      <c r="F23" s="86">
        <v>339</v>
      </c>
      <c r="G23" s="86">
        <v>396</v>
      </c>
      <c r="H23" s="86">
        <v>452</v>
      </c>
      <c r="I23" s="86">
        <v>509</v>
      </c>
      <c r="J23" s="86">
        <v>565</v>
      </c>
      <c r="K23" s="86">
        <v>679</v>
      </c>
      <c r="L23" s="86">
        <v>792</v>
      </c>
      <c r="M23" s="86">
        <v>905</v>
      </c>
    </row>
    <row r="24" spans="2:13" ht="13" thickBot="1" x14ac:dyDescent="0.3">
      <c r="D24" s="89">
        <v>225</v>
      </c>
      <c r="E24" s="87">
        <f t="shared" si="0"/>
        <v>357.84703819796243</v>
      </c>
      <c r="F24" s="87">
        <f t="shared" ref="F24:M24" si="6">900*PI()*($E$27/1000)^2*F14</f>
        <v>4172.7333569728135</v>
      </c>
      <c r="G24" s="87">
        <f t="shared" si="6"/>
        <v>4868.1889164682825</v>
      </c>
      <c r="H24" s="87">
        <f t="shared" si="6"/>
        <v>5563.6444759637516</v>
      </c>
      <c r="I24" s="87">
        <f t="shared" si="6"/>
        <v>6259.1000354592206</v>
      </c>
      <c r="J24" s="87">
        <f t="shared" si="6"/>
        <v>6954.5555949546897</v>
      </c>
      <c r="K24" s="87">
        <f t="shared" si="6"/>
        <v>8345.4667139456269</v>
      </c>
      <c r="L24" s="87">
        <f t="shared" si="6"/>
        <v>9736.377832936565</v>
      </c>
      <c r="M24" s="87">
        <f t="shared" si="6"/>
        <v>11127.288951927503</v>
      </c>
    </row>
    <row r="25" spans="2:13" ht="13" thickBot="1" x14ac:dyDescent="0.3">
      <c r="D25" s="88">
        <v>250</v>
      </c>
      <c r="E25" s="87">
        <f t="shared" si="0"/>
        <v>441.78646691106462</v>
      </c>
      <c r="F25" s="86">
        <v>530</v>
      </c>
      <c r="G25" s="86">
        <v>619</v>
      </c>
      <c r="H25" s="86">
        <v>707</v>
      </c>
      <c r="I25" s="86">
        <v>795</v>
      </c>
      <c r="J25" s="86">
        <v>884</v>
      </c>
      <c r="K25" s="86">
        <v>1060</v>
      </c>
      <c r="L25" s="86">
        <v>1237</v>
      </c>
      <c r="M25" s="86">
        <v>1414</v>
      </c>
    </row>
    <row r="26" spans="2:13" ht="13" thickBot="1" x14ac:dyDescent="0.3">
      <c r="D26" s="89">
        <v>280</v>
      </c>
      <c r="E26" s="87">
        <f t="shared" si="0"/>
        <v>554.17694409323963</v>
      </c>
      <c r="F26" s="87">
        <f t="shared" ref="F26:M26" si="7">900*PI()*($E$29/1000)^2*F14</f>
        <v>26488.565273365501</v>
      </c>
      <c r="G26" s="87">
        <f t="shared" si="7"/>
        <v>30903.32615225975</v>
      </c>
      <c r="H26" s="87">
        <f t="shared" si="7"/>
        <v>35318.087031153998</v>
      </c>
      <c r="I26" s="87">
        <f t="shared" si="7"/>
        <v>39732.847910048251</v>
      </c>
      <c r="J26" s="87">
        <f t="shared" si="7"/>
        <v>44147.608788942496</v>
      </c>
      <c r="K26" s="87">
        <f t="shared" si="7"/>
        <v>52977.130546731001</v>
      </c>
      <c r="L26" s="87">
        <f t="shared" si="7"/>
        <v>61806.652304519499</v>
      </c>
      <c r="M26" s="87">
        <f t="shared" si="7"/>
        <v>70636.174062307997</v>
      </c>
    </row>
    <row r="27" spans="2:13" ht="13" thickBot="1" x14ac:dyDescent="0.3">
      <c r="D27" s="88">
        <v>315</v>
      </c>
      <c r="E27" s="87">
        <f t="shared" si="0"/>
        <v>701.38019486800636</v>
      </c>
      <c r="F27" s="86">
        <v>842</v>
      </c>
      <c r="G27" s="86">
        <v>982</v>
      </c>
      <c r="H27" s="86">
        <v>1122</v>
      </c>
      <c r="I27" s="86">
        <v>1262</v>
      </c>
      <c r="J27" s="86">
        <v>1403</v>
      </c>
      <c r="K27" s="86">
        <v>1683</v>
      </c>
      <c r="L27" s="86">
        <v>1964</v>
      </c>
      <c r="M27" s="86">
        <v>2244</v>
      </c>
    </row>
    <row r="28" spans="2:13" ht="13" thickBot="1" x14ac:dyDescent="0.3">
      <c r="D28" s="88">
        <v>400</v>
      </c>
      <c r="E28" s="87">
        <f t="shared" si="0"/>
        <v>1130.9733552923258</v>
      </c>
      <c r="F28" s="86">
        <v>1357</v>
      </c>
      <c r="G28" s="86">
        <v>1583</v>
      </c>
      <c r="H28" s="86">
        <v>1810</v>
      </c>
      <c r="I28" s="86">
        <v>2036</v>
      </c>
      <c r="J28" s="86">
        <v>2262</v>
      </c>
      <c r="K28" s="86">
        <v>2714</v>
      </c>
      <c r="L28" s="86">
        <v>3167</v>
      </c>
      <c r="M28" s="86">
        <v>3619</v>
      </c>
    </row>
    <row r="29" spans="2:13" ht="13" thickBot="1" x14ac:dyDescent="0.3">
      <c r="D29" s="88">
        <v>500</v>
      </c>
      <c r="E29" s="87">
        <f t="shared" si="0"/>
        <v>1767.1458676442585</v>
      </c>
      <c r="F29" s="86">
        <v>2121</v>
      </c>
      <c r="G29" s="86">
        <v>2474</v>
      </c>
      <c r="H29" s="86">
        <v>2827</v>
      </c>
      <c r="I29" s="86">
        <v>3181</v>
      </c>
      <c r="J29" s="86">
        <v>3534</v>
      </c>
      <c r="K29" s="86">
        <v>4241</v>
      </c>
      <c r="L29" s="86">
        <v>4948</v>
      </c>
      <c r="M29" s="86">
        <v>5655</v>
      </c>
    </row>
  </sheetData>
  <sheetProtection algorithmName="SHA-512" hashValue="TEpvv4OxJTVryySClO5GAqC1rISQGrSjMmUVQPmHphyzKssqQ+kMK3h2noopp2/U2aDvMtkwaaeBm73y4js0pw==" saltValue="12S8qXtrJSi+oFTdM3a9Hw==" spinCount="100000" sheet="1" objects="1" scenarios="1" selectLockedCells="1"/>
  <mergeCells count="1">
    <mergeCell ref="E13:M13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Blad2"/>
  <dimension ref="A1"/>
  <sheetViews>
    <sheetView workbookViewId="0">
      <selection activeCell="A9" sqref="A9"/>
    </sheetView>
  </sheetViews>
  <sheetFormatPr defaultColWidth="9.1796875" defaultRowHeight="12.5" x14ac:dyDescent="0.25"/>
  <cols>
    <col min="1" max="1" width="9.1796875" style="56"/>
    <col min="2" max="7" width="9.7265625" style="56" customWidth="1"/>
    <col min="8" max="11" width="11" style="56" bestFit="1" customWidth="1"/>
    <col min="12" max="16384" width="9.1796875" style="56"/>
  </cols>
  <sheetData/>
  <sheetProtection algorithmName="SHA-512" hashValue="2gDZU+7KVnpaG6wIjTUg4e2tGAD8dAwVNiW2avamDK8dK3xKd3rAWn0wQbi5EOJfIY8+WZ3V8qfD1OgiCs3IDQ==" saltValue="8UQcLFQElQb2oQfI4p/zlQ==" spinCount="100000" sheet="1" objects="1" scenarios="1" selectLockedCells="1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ENVAR Ref</vt:lpstr>
      <vt:lpstr>Ductulator</vt:lpstr>
      <vt:lpstr>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tobias.coe</dc:creator>
  <cp:lastModifiedBy>Cyz Saldivar</cp:lastModifiedBy>
  <dcterms:created xsi:type="dcterms:W3CDTF">2013-07-29T07:56:14Z</dcterms:created>
  <dcterms:modified xsi:type="dcterms:W3CDTF">2026-04-27T19:39:05Z</dcterms:modified>
</cp:coreProperties>
</file>